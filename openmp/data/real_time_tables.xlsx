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tial" sheetId="1" r:id="rId4"/>
    <sheet state="visible" name="parallel_no_simd" sheetId="2" r:id="rId5"/>
    <sheet state="visible" name="parallel_simd" sheetId="3" r:id="rId6"/>
    <sheet state="visible" name="final_results" sheetId="4" r:id="rId7"/>
  </sheets>
  <definedNames/>
  <calcPr/>
</workbook>
</file>

<file path=xl/sharedStrings.xml><?xml version="1.0" encoding="utf-8"?>
<sst xmlns="http://schemas.openxmlformats.org/spreadsheetml/2006/main" count="1383" uniqueCount="80">
  <si>
    <t>SEQUENTIAL</t>
  </si>
  <si>
    <t>Matrix</t>
  </si>
  <si>
    <t>Metric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</si>
  <si>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</si>
  <si>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</si>
  <si>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</si>
  <si>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</si>
  <si>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</si>
  <si>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</si>
  <si>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</si>
  <si>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</si>
  <si>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</si>
  <si>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</si>
  <si>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Average</t>
  </si>
  <si>
    <t>Outlier</t>
  </si>
  <si>
    <t>90th perc</t>
  </si>
  <si>
    <t>1_little.mtx</t>
  </si>
  <si>
    <t>CPU [ms]</t>
  </si>
  <si>
    <t>REAL [ms]</t>
  </si>
  <si>
    <t>2_small.mtx</t>
  </si>
  <si>
    <t>3_medium.mtx</t>
  </si>
  <si>
    <t>4_big.mtx</t>
  </si>
  <si>
    <t>5_huge.mtx</t>
  </si>
  <si>
    <t>PARALLEL NO SIMD STATIC - 4 THREADS</t>
  </si>
  <si>
    <t>PARALLEL NO SIMD DYNAMIC - 4 THREADS</t>
  </si>
  <si>
    <t>PARALLEL NO SIMD GUIDED - 4 THREADS</t>
  </si>
  <si>
    <t>PARALLEL NO SIMD STATIC - 8 THREADS</t>
  </si>
  <si>
    <t>PARALLEL NO SIMD DYNAMIC - 8 THREADS</t>
  </si>
  <si>
    <t>PARALLEL NO SIMD GUIDED - 8 THREADS</t>
  </si>
  <si>
    <t>PARALLEL NO SIMD STATIC - 16 THREADS</t>
  </si>
  <si>
    <t>PARALLEL NO SIMD DYNAMIC - 16 THREADS</t>
  </si>
  <si>
    <t>PARALLEL NO SIMD GUIDED - 16 THREADS</t>
  </si>
  <si>
    <t>PARALLEL NO SIMD STATIC - 32 THREADS</t>
  </si>
  <si>
    <t>PARALLEL NO SIMD DYNAMIC - 32 THREADS</t>
  </si>
  <si>
    <t>PARALLEL NO SIMD GUIDED - 32 THREADS</t>
  </si>
  <si>
    <t>PARALLEL NO SIMD STATIC - 64 THREADS</t>
  </si>
  <si>
    <t>PARALLEL NO SIMD DYNAMIC - 64 THREADS</t>
  </si>
  <si>
    <t>PARALLEL NO SIMD GUIDED - 64 THREADS</t>
  </si>
  <si>
    <t>STATIC SCHEDULE</t>
  </si>
  <si>
    <t>4 Threads</t>
  </si>
  <si>
    <t>8 Threads</t>
  </si>
  <si>
    <t>16 Threads</t>
  </si>
  <si>
    <t>32 Threads</t>
  </si>
  <si>
    <t>64 Threads</t>
  </si>
  <si>
    <t>Best</t>
  </si>
  <si>
    <t>Sequential</t>
  </si>
  <si>
    <t>Max Speed-Up</t>
  </si>
  <si>
    <t>Efficiency</t>
  </si>
  <si>
    <t>DYNAMIC SCHEDULE</t>
  </si>
  <si>
    <t>he experimental time measurements indicate that performance improvements were achieved only under specific configurations of thread counts and scheduling policies. Static scheduling proved to be the least effective, yielding a negligible speedup (max 1.3x at 8 threads) and degrading performance in other configurations. Conversely, dynamic scheduling emerged as the most robust strategy, particularly at 64 threads, achieving speedups between 2x and 3x for most datasets; however, it failed to provide significant gains for the largest matrix. Guided scheduling outperformed static but generally lagged behind dynamic, though it showed optimal results at 8 and 16 threads, achieving the peak speedup for the largest matrix in the 16-thread configuration. Despite these gains, the overall parallel efficiency remains critically low.</t>
  </si>
  <si>
    <t>GUIDED SCHEDULE</t>
  </si>
  <si>
    <t>COMPARISON</t>
  </si>
  <si>
    <t>Static</t>
  </si>
  <si>
    <t>Dynamic</t>
  </si>
  <si>
    <t>Guided</t>
  </si>
  <si>
    <t>PARALLEL SIMD STATIC - 4 THREADS</t>
  </si>
  <si>
    <t>PARALLEL SIMD DYNAMIC - 4 THREADS</t>
  </si>
  <si>
    <t>PARALLEL SIMD GUIDED - 4 THREADS</t>
  </si>
  <si>
    <t>PARALLEL SIMD STATIC - 8 THREADS</t>
  </si>
  <si>
    <t>PARALLEL SIMD DYNAMIC - 8 THREADS</t>
  </si>
  <si>
    <t>PARALLEL SIMD GUIDED - 8 THREADS</t>
  </si>
  <si>
    <t>PARALLEL SIMD STATIC - 16 THREADS</t>
  </si>
  <si>
    <t>PARALLEL SIMD DYNAMIC - 16 THREADS</t>
  </si>
  <si>
    <t>PARALLEL SIMD GUIDED - 16 THREADS</t>
  </si>
  <si>
    <t>PARALLEL SIMD STATIC - 32 THREADS</t>
  </si>
  <si>
    <t>PARALLEL SIMD DYNAMIC - 32 THREADS</t>
  </si>
  <si>
    <t>PARALLEL SIMD GUIDED - 32 THREADS</t>
  </si>
  <si>
    <t>PARALLEL SIMD STATIC - 64 THREADS</t>
  </si>
  <si>
    <t>PARALLEL SIMD DYNAMIC - 64 THREADS</t>
  </si>
  <si>
    <t>PARALLEL SIMD GUIDED - 64 THREADS</t>
  </si>
  <si>
    <t>SIMD vs NO SIMD</t>
  </si>
  <si>
    <t>STATIC SCHEDULING</t>
  </si>
  <si>
    <t>No simd</t>
  </si>
  <si>
    <t>simd</t>
  </si>
  <si>
    <t>DYNAMIC SCHEDULING</t>
  </si>
  <si>
    <t>GUIDED SCHEDULING</t>
  </si>
  <si>
    <t>ABSOLUTE COMPARISON</t>
  </si>
  <si>
    <t>Parallel no simd</t>
  </si>
  <si>
    <t>Parallel simd</t>
  </si>
  <si>
    <t>Speed-Up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</si>
</sst>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b/>
      <color rgb="FF434343"/>
      <name val="Arial"/>
    </font>
    <font>
      <b/>
      <color rgb="FFFF0000"/>
      <name val="Arial"/>
    </font>
    <font>
      <color rgb="FF000000"/>
      <name val="Arial"/>
    </font>
    <font>
      <color theme="1"/>
      <name val="Arial"/>
    </font>
    <font>
      <color rgb="FF434343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6" fillId="3" fontId="3" numFmtId="0" xfId="0" applyAlignment="1" applyBorder="1" applyFill="1" applyFont="1">
      <alignment horizontal="center" vertical="top"/>
    </xf>
    <xf borderId="5" fillId="3" fontId="3" numFmtId="0" xfId="0" applyAlignment="1" applyBorder="1" applyFont="1">
      <alignment horizontal="center" readingOrder="0" vertical="top"/>
    </xf>
    <xf borderId="6" fillId="3" fontId="4" numFmtId="0" xfId="0" applyAlignment="1" applyBorder="1" applyFont="1">
      <alignment horizontal="right" vertical="bottom"/>
    </xf>
    <xf borderId="7" fillId="3" fontId="4" numFmtId="0" xfId="0" applyAlignment="1" applyBorder="1" applyFont="1">
      <alignment horizontal="right" vertical="bottom"/>
    </xf>
    <xf borderId="8" fillId="3" fontId="4" numFmtId="0" xfId="0" applyAlignment="1" applyBorder="1" applyFont="1">
      <alignment horizontal="right" vertical="bottom"/>
    </xf>
    <xf borderId="6" fillId="3" fontId="5" numFmtId="0" xfId="0" applyBorder="1" applyFont="1"/>
    <xf borderId="7" fillId="3" fontId="5" numFmtId="0" xfId="0" applyBorder="1" applyFont="1"/>
    <xf borderId="8" fillId="3" fontId="5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readingOrder="0" vertical="top"/>
    </xf>
    <xf borderId="11" fillId="3" fontId="4" numFmtId="0" xfId="0" applyAlignment="1" applyBorder="1" applyFont="1">
      <alignment horizontal="right" vertical="bottom"/>
    </xf>
    <xf borderId="0" fillId="3" fontId="4" numFmtId="0" xfId="0" applyAlignment="1" applyFont="1">
      <alignment horizontal="right" vertical="bottom"/>
    </xf>
    <xf borderId="12" fillId="3" fontId="4" numFmtId="0" xfId="0" applyAlignment="1" applyBorder="1" applyFont="1">
      <alignment horizontal="right" vertical="bottom"/>
    </xf>
    <xf borderId="11" fillId="3" fontId="5" numFmtId="0" xfId="0" applyBorder="1" applyFont="1"/>
    <xf borderId="0" fillId="3" fontId="5" numFmtId="0" xfId="0" applyFont="1"/>
    <xf borderId="12" fillId="3" fontId="5" numFmtId="0" xfId="0" applyBorder="1" applyFont="1"/>
    <xf borderId="5" fillId="0" fontId="3" numFmtId="0" xfId="0" applyAlignment="1" applyBorder="1" applyFont="1">
      <alignment horizontal="center" vertical="top"/>
    </xf>
    <xf borderId="11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2" fillId="0" fontId="4" numFmtId="0" xfId="0" applyAlignment="1" applyBorder="1" applyFont="1">
      <alignment horizontal="right" vertical="bottom"/>
    </xf>
    <xf borderId="11" fillId="0" fontId="5" numFmtId="0" xfId="0" applyBorder="1" applyFont="1"/>
    <xf borderId="0" fillId="0" fontId="5" numFmtId="0" xfId="0" applyFont="1"/>
    <xf borderId="12" fillId="2" fontId="5" numFmtId="0" xfId="0" applyBorder="1" applyFont="1"/>
    <xf borderId="10" fillId="0" fontId="2" numFmtId="0" xfId="0" applyBorder="1" applyFont="1"/>
    <xf borderId="10" fillId="0" fontId="3" numFmtId="0" xfId="0" applyAlignment="1" applyBorder="1" applyFont="1">
      <alignment horizontal="center" readingOrder="0" vertical="top"/>
    </xf>
    <xf borderId="5" fillId="3" fontId="3" numFmtId="0" xfId="0" applyAlignment="1" applyBorder="1" applyFont="1">
      <alignment horizontal="center" vertical="top"/>
    </xf>
    <xf borderId="9" fillId="3" fontId="4" numFmtId="0" xfId="0" applyAlignment="1" applyBorder="1" applyFont="1">
      <alignment horizontal="right" vertical="bottom"/>
    </xf>
    <xf borderId="13" fillId="3" fontId="4" numFmtId="0" xfId="0" applyAlignment="1" applyBorder="1" applyFont="1">
      <alignment horizontal="right" vertical="bottom"/>
    </xf>
    <xf borderId="14" fillId="3" fontId="4" numFmtId="0" xfId="0" applyAlignment="1" applyBorder="1" applyFont="1">
      <alignment horizontal="right" vertical="bottom"/>
    </xf>
    <xf borderId="9" fillId="3" fontId="5" numFmtId="0" xfId="0" applyBorder="1" applyFont="1"/>
    <xf borderId="13" fillId="3" fontId="5" numFmtId="0" xfId="0" applyBorder="1" applyFont="1"/>
    <xf borderId="14" fillId="3" fontId="5" numFmtId="0" xfId="0" applyBorder="1" applyFont="1"/>
    <xf borderId="0" fillId="2" fontId="5" numFmtId="0" xfId="0" applyFont="1"/>
    <xf borderId="0" fillId="0" fontId="3" numFmtId="0" xfId="0" applyAlignment="1" applyFont="1">
      <alignment horizontal="center" vertical="top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5" numFmtId="10" xfId="0" applyFont="1" applyNumberFormat="1"/>
    <xf borderId="5" fillId="4" fontId="3" numFmtId="0" xfId="0" applyAlignment="1" applyBorder="1" applyFill="1" applyFont="1">
      <alignment horizontal="center" vertical="top"/>
    </xf>
    <xf borderId="5" fillId="4" fontId="3" numFmtId="0" xfId="0" applyAlignment="1" applyBorder="1" applyFont="1">
      <alignment horizontal="center" readingOrder="0" vertical="top"/>
    </xf>
    <xf borderId="6" fillId="4" fontId="4" numFmtId="0" xfId="0" applyAlignment="1" applyBorder="1" applyFont="1">
      <alignment horizontal="right" vertical="bottom"/>
    </xf>
    <xf borderId="7" fillId="4" fontId="4" numFmtId="0" xfId="0" applyAlignment="1" applyBorder="1" applyFont="1">
      <alignment horizontal="right" vertical="bottom"/>
    </xf>
    <xf borderId="8" fillId="4" fontId="4" numFmtId="0" xfId="0" applyAlignment="1" applyBorder="1" applyFont="1">
      <alignment horizontal="right" vertical="bottom"/>
    </xf>
    <xf borderId="6" fillId="4" fontId="5" numFmtId="0" xfId="0" applyBorder="1" applyFont="1"/>
    <xf borderId="7" fillId="4" fontId="5" numFmtId="0" xfId="0" applyBorder="1" applyFont="1"/>
    <xf borderId="8" fillId="4" fontId="5" numFmtId="0" xfId="0" applyBorder="1" applyFont="1"/>
    <xf borderId="12" fillId="4" fontId="3" numFmtId="0" xfId="0" applyAlignment="1" applyBorder="1" applyFont="1">
      <alignment horizontal="center" readingOrder="0" vertical="top"/>
    </xf>
    <xf borderId="11" fillId="4" fontId="4" numFmtId="0" xfId="0" applyAlignment="1" applyBorder="1" applyFont="1">
      <alignment horizontal="right" vertical="bottom"/>
    </xf>
    <xf borderId="0" fillId="4" fontId="4" numFmtId="0" xfId="0" applyAlignment="1" applyFont="1">
      <alignment horizontal="right" vertical="bottom"/>
    </xf>
    <xf borderId="12" fillId="4" fontId="4" numFmtId="0" xfId="0" applyAlignment="1" applyBorder="1" applyFont="1">
      <alignment horizontal="right" vertical="bottom"/>
    </xf>
    <xf borderId="11" fillId="4" fontId="1" numFmtId="0" xfId="0" applyBorder="1" applyFont="1"/>
    <xf borderId="0" fillId="4" fontId="5" numFmtId="0" xfId="0" applyFont="1"/>
    <xf borderId="12" fillId="4" fontId="5" numFmtId="0" xfId="0" applyBorder="1" applyFont="1"/>
    <xf borderId="6" fillId="0" fontId="3" numFmtId="0" xfId="0" applyAlignment="1" applyBorder="1" applyFont="1">
      <alignment horizontal="center" vertical="top"/>
    </xf>
    <xf borderId="15" fillId="0" fontId="3" numFmtId="0" xfId="0" applyAlignment="1" applyBorder="1" applyFont="1">
      <alignment horizontal="center" readingOrder="0" vertical="top"/>
    </xf>
    <xf borderId="11" fillId="0" fontId="1" numFmtId="0" xfId="0" applyBorder="1" applyFont="1"/>
    <xf borderId="6" fillId="4" fontId="3" numFmtId="0" xfId="0" applyAlignment="1" applyBorder="1" applyFont="1">
      <alignment horizontal="center" vertical="top"/>
    </xf>
    <xf borderId="11" fillId="4" fontId="5" numFmtId="0" xfId="0" applyBorder="1" applyFont="1"/>
    <xf borderId="15" fillId="4" fontId="3" numFmtId="0" xfId="0" applyAlignment="1" applyBorder="1" applyFont="1">
      <alignment horizontal="center" readingOrder="0" vertical="top"/>
    </xf>
    <xf borderId="10" fillId="4" fontId="3" numFmtId="0" xfId="0" applyAlignment="1" applyBorder="1" applyFont="1">
      <alignment horizontal="center" readingOrder="0" vertical="top"/>
    </xf>
    <xf borderId="9" fillId="4" fontId="4" numFmtId="0" xfId="0" applyAlignment="1" applyBorder="1" applyFont="1">
      <alignment horizontal="right" vertical="bottom"/>
    </xf>
    <xf borderId="13" fillId="4" fontId="4" numFmtId="0" xfId="0" applyAlignment="1" applyBorder="1" applyFont="1">
      <alignment horizontal="right" vertical="bottom"/>
    </xf>
    <xf borderId="14" fillId="4" fontId="4" numFmtId="0" xfId="0" applyAlignment="1" applyBorder="1" applyFont="1">
      <alignment horizontal="right" vertical="bottom"/>
    </xf>
    <xf borderId="9" fillId="4" fontId="1" numFmtId="0" xfId="0" applyBorder="1" applyFont="1"/>
    <xf borderId="13" fillId="4" fontId="5" numFmtId="0" xfId="0" applyBorder="1" applyFont="1"/>
    <xf borderId="14" fillId="4" fontId="5" numFmtId="0" xfId="0" applyBorder="1" applyFont="1"/>
    <xf borderId="0" fillId="5" fontId="5" numFmtId="0" xfId="0" applyFill="1" applyFont="1"/>
    <xf borderId="5" fillId="6" fontId="3" numFmtId="0" xfId="0" applyAlignment="1" applyBorder="1" applyFill="1" applyFont="1">
      <alignment horizontal="center" vertical="top"/>
    </xf>
    <xf borderId="5" fillId="6" fontId="3" numFmtId="0" xfId="0" applyAlignment="1" applyBorder="1" applyFont="1">
      <alignment horizontal="center" readingOrder="0" vertical="top"/>
    </xf>
    <xf borderId="6" fillId="6" fontId="4" numFmtId="0" xfId="0" applyAlignment="1" applyBorder="1" applyFont="1">
      <alignment horizontal="right" vertical="bottom"/>
    </xf>
    <xf borderId="7" fillId="6" fontId="4" numFmtId="0" xfId="0" applyAlignment="1" applyBorder="1" applyFont="1">
      <alignment horizontal="right" vertical="bottom"/>
    </xf>
    <xf borderId="8" fillId="6" fontId="4" numFmtId="0" xfId="0" applyAlignment="1" applyBorder="1" applyFont="1">
      <alignment horizontal="right" vertical="bottom"/>
    </xf>
    <xf borderId="6" fillId="6" fontId="5" numFmtId="0" xfId="0" applyBorder="1" applyFont="1"/>
    <xf borderId="7" fillId="6" fontId="5" numFmtId="0" xfId="0" applyBorder="1" applyFont="1"/>
    <xf borderId="8" fillId="6" fontId="5" numFmtId="0" xfId="0" applyBorder="1" applyFont="1"/>
    <xf borderId="12" fillId="6" fontId="3" numFmtId="0" xfId="0" applyAlignment="1" applyBorder="1" applyFont="1">
      <alignment horizontal="center" readingOrder="0" vertical="top"/>
    </xf>
    <xf borderId="11" fillId="6" fontId="4" numFmtId="0" xfId="0" applyAlignment="1" applyBorder="1" applyFont="1">
      <alignment horizontal="right" vertical="bottom"/>
    </xf>
    <xf borderId="0" fillId="6" fontId="4" numFmtId="0" xfId="0" applyAlignment="1" applyFont="1">
      <alignment horizontal="right" vertical="bottom"/>
    </xf>
    <xf borderId="12" fillId="6" fontId="4" numFmtId="0" xfId="0" applyAlignment="1" applyBorder="1" applyFont="1">
      <alignment horizontal="right" vertical="bottom"/>
    </xf>
    <xf borderId="11" fillId="6" fontId="1" numFmtId="0" xfId="0" applyBorder="1" applyFont="1"/>
    <xf borderId="0" fillId="6" fontId="5" numFmtId="0" xfId="0" applyFont="1"/>
    <xf borderId="12" fillId="6" fontId="5" numFmtId="0" xfId="0" applyBorder="1" applyFont="1"/>
    <xf borderId="11" fillId="6" fontId="5" numFmtId="0" xfId="0" applyBorder="1" applyFont="1"/>
    <xf borderId="15" fillId="6" fontId="3" numFmtId="0" xfId="0" applyAlignment="1" applyBorder="1" applyFont="1">
      <alignment horizontal="center" readingOrder="0" vertical="top"/>
    </xf>
    <xf borderId="10" fillId="6" fontId="3" numFmtId="0" xfId="0" applyAlignment="1" applyBorder="1" applyFont="1">
      <alignment horizontal="center" readingOrder="0" vertical="top"/>
    </xf>
    <xf borderId="9" fillId="6" fontId="4" numFmtId="0" xfId="0" applyAlignment="1" applyBorder="1" applyFont="1">
      <alignment horizontal="right" vertical="bottom"/>
    </xf>
    <xf borderId="13" fillId="6" fontId="4" numFmtId="0" xfId="0" applyAlignment="1" applyBorder="1" applyFont="1">
      <alignment horizontal="right" vertical="bottom"/>
    </xf>
    <xf borderId="14" fillId="6" fontId="4" numFmtId="0" xfId="0" applyAlignment="1" applyBorder="1" applyFont="1">
      <alignment horizontal="right" vertical="bottom"/>
    </xf>
    <xf borderId="9" fillId="6" fontId="1" numFmtId="0" xfId="0" applyBorder="1" applyFont="1"/>
    <xf borderId="13" fillId="6" fontId="5" numFmtId="0" xfId="0" applyBorder="1" applyFont="1"/>
    <xf borderId="14" fillId="6" fontId="5" numFmtId="0" xfId="0" applyBorder="1" applyFont="1"/>
    <xf borderId="0" fillId="0" fontId="1" numFmtId="0" xfId="0" applyFont="1"/>
    <xf borderId="5" fillId="7" fontId="3" numFmtId="0" xfId="0" applyAlignment="1" applyBorder="1" applyFill="1" applyFont="1">
      <alignment horizontal="center" vertical="top"/>
    </xf>
    <xf borderId="5" fillId="7" fontId="3" numFmtId="0" xfId="0" applyAlignment="1" applyBorder="1" applyFont="1">
      <alignment horizontal="center" readingOrder="0" vertical="top"/>
    </xf>
    <xf borderId="0" fillId="7" fontId="4" numFmtId="0" xfId="0" applyAlignment="1" applyFont="1">
      <alignment horizontal="right" vertical="bottom"/>
    </xf>
    <xf borderId="6" fillId="7" fontId="5" numFmtId="0" xfId="0" applyBorder="1" applyFont="1"/>
    <xf borderId="7" fillId="7" fontId="5" numFmtId="0" xfId="0" applyBorder="1" applyFont="1"/>
    <xf borderId="8" fillId="7" fontId="5" numFmtId="0" xfId="0" applyBorder="1" applyFont="1"/>
    <xf borderId="12" fillId="7" fontId="3" numFmtId="0" xfId="0" applyAlignment="1" applyBorder="1" applyFont="1">
      <alignment horizontal="center" readingOrder="0" vertical="top"/>
    </xf>
    <xf borderId="11" fillId="7" fontId="1" numFmtId="0" xfId="0" applyBorder="1" applyFont="1"/>
    <xf borderId="0" fillId="7" fontId="5" numFmtId="0" xfId="0" applyFont="1"/>
    <xf borderId="12" fillId="7" fontId="5" numFmtId="0" xfId="0" applyBorder="1" applyFont="1"/>
    <xf borderId="11" fillId="7" fontId="5" numFmtId="0" xfId="0" applyBorder="1" applyFont="1"/>
    <xf borderId="15" fillId="7" fontId="3" numFmtId="0" xfId="0" applyAlignment="1" applyBorder="1" applyFont="1">
      <alignment horizontal="center" readingOrder="0" vertical="top"/>
    </xf>
    <xf borderId="10" fillId="7" fontId="3" numFmtId="0" xfId="0" applyAlignment="1" applyBorder="1" applyFont="1">
      <alignment horizontal="center" readingOrder="0" vertical="top"/>
    </xf>
    <xf borderId="13" fillId="7" fontId="4" numFmtId="0" xfId="0" applyAlignment="1" applyBorder="1" applyFont="1">
      <alignment horizontal="right" vertical="bottom"/>
    </xf>
    <xf borderId="9" fillId="7" fontId="1" numFmtId="0" xfId="0" applyBorder="1" applyFont="1"/>
    <xf borderId="13" fillId="7" fontId="5" numFmtId="0" xfId="0" applyBorder="1" applyFont="1"/>
    <xf borderId="14" fillId="7" fontId="5" numFmtId="0" xfId="0" applyBorder="1" applyFont="1"/>
    <xf borderId="6" fillId="7" fontId="4" numFmtId="0" xfId="0" applyAlignment="1" applyBorder="1" applyFont="1">
      <alignment horizontal="right" vertical="bottom"/>
    </xf>
    <xf borderId="7" fillId="7" fontId="4" numFmtId="0" xfId="0" applyAlignment="1" applyBorder="1" applyFont="1">
      <alignment horizontal="right" vertical="bottom"/>
    </xf>
    <xf borderId="8" fillId="7" fontId="4" numFmtId="0" xfId="0" applyAlignment="1" applyBorder="1" applyFont="1">
      <alignment horizontal="right" vertical="bottom"/>
    </xf>
    <xf borderId="11" fillId="7" fontId="4" numFmtId="0" xfId="0" applyAlignment="1" applyBorder="1" applyFont="1">
      <alignment horizontal="right" vertical="bottom"/>
    </xf>
    <xf borderId="12" fillId="7" fontId="4" numFmtId="0" xfId="0" applyAlignment="1" applyBorder="1" applyFont="1">
      <alignment horizontal="right" vertical="bottom"/>
    </xf>
    <xf borderId="9" fillId="7" fontId="4" numFmtId="0" xfId="0" applyAlignment="1" applyBorder="1" applyFont="1">
      <alignment horizontal="right" vertical="bottom"/>
    </xf>
    <xf borderId="14" fillId="7" fontId="4" numFmtId="0" xfId="0" applyAlignment="1" applyBorder="1" applyFont="1">
      <alignment horizontal="right" vertical="bottom"/>
    </xf>
    <xf borderId="5" fillId="8" fontId="3" numFmtId="0" xfId="0" applyAlignment="1" applyBorder="1" applyFill="1" applyFont="1">
      <alignment horizontal="center" vertical="top"/>
    </xf>
    <xf borderId="5" fillId="8" fontId="3" numFmtId="0" xfId="0" applyAlignment="1" applyBorder="1" applyFont="1">
      <alignment horizontal="center" readingOrder="0" vertical="top"/>
    </xf>
    <xf borderId="0" fillId="8" fontId="4" numFmtId="0" xfId="0" applyAlignment="1" applyFont="1">
      <alignment horizontal="right" vertical="bottom"/>
    </xf>
    <xf borderId="6" fillId="8" fontId="5" numFmtId="0" xfId="0" applyBorder="1" applyFont="1"/>
    <xf borderId="7" fillId="8" fontId="5" numFmtId="0" xfId="0" applyBorder="1" applyFont="1"/>
    <xf borderId="8" fillId="8" fontId="5" numFmtId="0" xfId="0" applyBorder="1" applyFont="1"/>
    <xf borderId="12" fillId="8" fontId="3" numFmtId="0" xfId="0" applyAlignment="1" applyBorder="1" applyFont="1">
      <alignment horizontal="center" readingOrder="0" vertical="top"/>
    </xf>
    <xf borderId="11" fillId="8" fontId="1" numFmtId="0" xfId="0" applyBorder="1" applyFont="1"/>
    <xf borderId="0" fillId="8" fontId="5" numFmtId="0" xfId="0" applyFont="1"/>
    <xf borderId="12" fillId="8" fontId="5" numFmtId="0" xfId="0" applyBorder="1" applyFont="1"/>
    <xf borderId="11" fillId="8" fontId="5" numFmtId="0" xfId="0" applyBorder="1" applyFont="1"/>
    <xf borderId="15" fillId="8" fontId="3" numFmtId="0" xfId="0" applyAlignment="1" applyBorder="1" applyFont="1">
      <alignment horizontal="center" readingOrder="0" vertical="top"/>
    </xf>
    <xf borderId="10" fillId="8" fontId="3" numFmtId="0" xfId="0" applyAlignment="1" applyBorder="1" applyFont="1">
      <alignment horizontal="center" readingOrder="0" vertical="top"/>
    </xf>
    <xf borderId="13" fillId="8" fontId="4" numFmtId="0" xfId="0" applyAlignment="1" applyBorder="1" applyFont="1">
      <alignment horizontal="right" vertical="bottom"/>
    </xf>
    <xf borderId="9" fillId="8" fontId="1" numFmtId="0" xfId="0" applyBorder="1" applyFont="1"/>
    <xf borderId="13" fillId="8" fontId="5" numFmtId="0" xfId="0" applyBorder="1" applyFont="1"/>
    <xf borderId="14" fillId="8" fontId="5" numFmtId="0" xfId="0" applyBorder="1" applyFont="1"/>
    <xf borderId="5" fillId="9" fontId="3" numFmtId="0" xfId="0" applyAlignment="1" applyBorder="1" applyFill="1" applyFont="1">
      <alignment horizontal="center" vertical="top"/>
    </xf>
    <xf borderId="5" fillId="9" fontId="3" numFmtId="0" xfId="0" applyAlignment="1" applyBorder="1" applyFont="1">
      <alignment horizontal="center" readingOrder="0" vertical="top"/>
    </xf>
    <xf borderId="0" fillId="9" fontId="4" numFmtId="0" xfId="0" applyAlignment="1" applyFont="1">
      <alignment horizontal="right" vertical="bottom"/>
    </xf>
    <xf borderId="6" fillId="9" fontId="5" numFmtId="0" xfId="0" applyBorder="1" applyFont="1"/>
    <xf borderId="7" fillId="9" fontId="5" numFmtId="0" xfId="0" applyBorder="1" applyFont="1"/>
    <xf borderId="8" fillId="9" fontId="5" numFmtId="0" xfId="0" applyBorder="1" applyFont="1"/>
    <xf borderId="12" fillId="9" fontId="3" numFmtId="0" xfId="0" applyAlignment="1" applyBorder="1" applyFont="1">
      <alignment horizontal="center" readingOrder="0" vertical="top"/>
    </xf>
    <xf borderId="11" fillId="9" fontId="1" numFmtId="0" xfId="0" applyBorder="1" applyFont="1"/>
    <xf borderId="0" fillId="9" fontId="5" numFmtId="0" xfId="0" applyFont="1"/>
    <xf borderId="12" fillId="9" fontId="5" numFmtId="0" xfId="0" applyBorder="1" applyFont="1"/>
    <xf borderId="11" fillId="9" fontId="5" numFmtId="0" xfId="0" applyBorder="1" applyFont="1"/>
    <xf borderId="15" fillId="9" fontId="3" numFmtId="0" xfId="0" applyAlignment="1" applyBorder="1" applyFont="1">
      <alignment horizontal="center" readingOrder="0" vertical="top"/>
    </xf>
    <xf borderId="10" fillId="9" fontId="3" numFmtId="0" xfId="0" applyAlignment="1" applyBorder="1" applyFont="1">
      <alignment horizontal="center" readingOrder="0" vertical="top"/>
    </xf>
    <xf borderId="13" fillId="9" fontId="4" numFmtId="0" xfId="0" applyAlignment="1" applyBorder="1" applyFont="1">
      <alignment horizontal="right" vertical="bottom"/>
    </xf>
    <xf borderId="9" fillId="9" fontId="1" numFmtId="0" xfId="0" applyBorder="1" applyFont="1"/>
    <xf borderId="13" fillId="9" fontId="5" numFmtId="0" xfId="0" applyBorder="1" applyFont="1"/>
    <xf borderId="14" fillId="9" fontId="5" numFmtId="0" xfId="0" applyBorder="1" applyFont="1"/>
    <xf borderId="0" fillId="10" fontId="5" numFmtId="0" xfId="0" applyFill="1" applyFont="1"/>
    <xf borderId="1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5" fillId="11" fontId="3" numFmtId="0" xfId="0" applyAlignment="1" applyBorder="1" applyFill="1" applyFont="1">
      <alignment horizontal="center" vertical="top"/>
    </xf>
    <xf borderId="5" fillId="11" fontId="3" numFmtId="0" xfId="0" applyAlignment="1" applyBorder="1" applyFont="1">
      <alignment horizontal="center" readingOrder="0" vertical="top"/>
    </xf>
    <xf borderId="6" fillId="11" fontId="5" numFmtId="0" xfId="0" applyBorder="1" applyFont="1"/>
    <xf borderId="7" fillId="11" fontId="6" numFmtId="0" xfId="0" applyBorder="1" applyFont="1"/>
    <xf borderId="7" fillId="11" fontId="5" numFmtId="0" xfId="0" applyBorder="1" applyFont="1"/>
    <xf borderId="8" fillId="11" fontId="5" numFmtId="0" xfId="0" applyBorder="1" applyFont="1"/>
    <xf borderId="15" fillId="11" fontId="5" numFmtId="0" xfId="0" applyBorder="1" applyFont="1"/>
    <xf borderId="5" fillId="11" fontId="5" numFmtId="0" xfId="0" applyBorder="1" applyFont="1"/>
    <xf borderId="5" fillId="11" fontId="5" numFmtId="164" xfId="0" applyBorder="1" applyFont="1" applyNumberFormat="1"/>
    <xf borderId="5" fillId="11" fontId="5" numFmtId="10" xfId="0" applyBorder="1" applyFont="1" applyNumberFormat="1"/>
    <xf borderId="6" fillId="0" fontId="5" numFmtId="164" xfId="0" applyBorder="1" applyFont="1" applyNumberFormat="1"/>
    <xf borderId="7" fillId="0" fontId="5" numFmtId="10" xfId="0" applyBorder="1" applyFont="1" applyNumberFormat="1"/>
    <xf borderId="7" fillId="2" fontId="5" numFmtId="164" xfId="0" applyBorder="1" applyFont="1" applyNumberFormat="1"/>
    <xf borderId="7" fillId="0" fontId="5" numFmtId="164" xfId="0" applyBorder="1" applyFont="1" applyNumberFormat="1"/>
    <xf borderId="8" fillId="0" fontId="5" numFmtId="10" xfId="0" applyBorder="1" applyFont="1" applyNumberFormat="1"/>
    <xf borderId="12" fillId="11" fontId="3" numFmtId="0" xfId="0" applyAlignment="1" applyBorder="1" applyFont="1">
      <alignment horizontal="center" readingOrder="0" vertical="top"/>
    </xf>
    <xf borderId="11" fillId="11" fontId="5" numFmtId="0" xfId="0" applyBorder="1" applyFont="1"/>
    <xf borderId="0" fillId="11" fontId="6" numFmtId="0" xfId="0" applyFont="1"/>
    <xf borderId="0" fillId="11" fontId="5" numFmtId="0" xfId="0" applyFont="1"/>
    <xf borderId="12" fillId="11" fontId="5" numFmtId="0" xfId="0" applyBorder="1" applyFont="1"/>
    <xf borderId="15" fillId="11" fontId="5" numFmtId="164" xfId="0" applyBorder="1" applyFont="1" applyNumberFormat="1"/>
    <xf borderId="15" fillId="11" fontId="5" numFmtId="10" xfId="0" applyBorder="1" applyFont="1" applyNumberFormat="1"/>
    <xf borderId="11" fillId="0" fontId="5" numFmtId="164" xfId="0" applyBorder="1" applyFont="1" applyNumberFormat="1"/>
    <xf borderId="0" fillId="2" fontId="5" numFmtId="164" xfId="0" applyFont="1" applyNumberFormat="1"/>
    <xf borderId="0" fillId="0" fontId="5" numFmtId="164" xfId="0" applyFont="1" applyNumberFormat="1"/>
    <xf borderId="12" fillId="0" fontId="5" numFmtId="10" xfId="0" applyBorder="1" applyFont="1" applyNumberFormat="1"/>
    <xf borderId="0" fillId="0" fontId="6" numFmtId="0" xfId="0" applyFont="1"/>
    <xf borderId="12" fillId="0" fontId="5" numFmtId="0" xfId="0" applyBorder="1" applyFont="1"/>
    <xf borderId="15" fillId="0" fontId="5" numFmtId="0" xfId="0" applyBorder="1" applyFont="1"/>
    <xf borderId="15" fillId="0" fontId="5" numFmtId="164" xfId="0" applyBorder="1" applyFont="1" applyNumberFormat="1"/>
    <xf borderId="15" fillId="0" fontId="5" numFmtId="10" xfId="0" applyBorder="1" applyFont="1" applyNumberFormat="1"/>
    <xf borderId="15" fillId="11" fontId="3" numFmtId="0" xfId="0" applyAlignment="1" applyBorder="1" applyFont="1">
      <alignment horizontal="center" readingOrder="0" vertical="top"/>
    </xf>
    <xf borderId="10" fillId="11" fontId="3" numFmtId="0" xfId="0" applyAlignment="1" applyBorder="1" applyFont="1">
      <alignment horizontal="center" readingOrder="0" vertical="top"/>
    </xf>
    <xf borderId="9" fillId="11" fontId="5" numFmtId="0" xfId="0" applyBorder="1" applyFont="1"/>
    <xf borderId="13" fillId="11" fontId="6" numFmtId="0" xfId="0" applyBorder="1" applyFont="1"/>
    <xf borderId="13" fillId="11" fontId="5" numFmtId="0" xfId="0" applyBorder="1" applyFont="1"/>
    <xf borderId="14" fillId="11" fontId="5" numFmtId="0" xfId="0" applyBorder="1" applyFont="1"/>
    <xf borderId="10" fillId="11" fontId="5" numFmtId="0" xfId="0" applyBorder="1" applyFont="1"/>
    <xf borderId="10" fillId="11" fontId="5" numFmtId="164" xfId="0" applyBorder="1" applyFont="1" applyNumberFormat="1"/>
    <xf borderId="10" fillId="11" fontId="5" numFmtId="10" xfId="0" applyBorder="1" applyFont="1" applyNumberFormat="1"/>
    <xf borderId="9" fillId="0" fontId="5" numFmtId="164" xfId="0" applyBorder="1" applyFont="1" applyNumberFormat="1"/>
    <xf borderId="13" fillId="0" fontId="5" numFmtId="10" xfId="0" applyBorder="1" applyFont="1" applyNumberFormat="1"/>
    <xf borderId="13" fillId="2" fontId="5" numFmtId="164" xfId="0" applyBorder="1" applyFont="1" applyNumberFormat="1"/>
    <xf borderId="13" fillId="0" fontId="5" numFmtId="164" xfId="0" applyBorder="1" applyFont="1" applyNumberFormat="1"/>
    <xf borderId="14" fillId="0" fontId="5" numFmtId="10" xfId="0" applyBorder="1" applyFont="1" applyNumberFormat="1"/>
    <xf borderId="6" fillId="11" fontId="3" numFmtId="0" xfId="0" applyAlignment="1" applyBorder="1" applyFont="1">
      <alignment horizontal="center" readingOrder="0" vertical="top"/>
    </xf>
    <xf borderId="8" fillId="11" fontId="6" numFmtId="0" xfId="0" applyBorder="1" applyFont="1"/>
    <xf borderId="5" fillId="11" fontId="5" numFmtId="164" xfId="0" applyBorder="1" applyFont="1" applyNumberFormat="1"/>
    <xf borderId="0" fillId="11" fontId="3" numFmtId="0" xfId="0" applyAlignment="1" applyFont="1">
      <alignment horizontal="center" readingOrder="0" vertical="top"/>
    </xf>
    <xf borderId="12" fillId="11" fontId="6" numFmtId="0" xfId="0" applyBorder="1" applyFont="1"/>
    <xf borderId="15" fillId="11" fontId="5" numFmtId="164" xfId="0" applyBorder="1" applyFont="1" applyNumberFormat="1"/>
    <xf borderId="6" fillId="0" fontId="3" numFmtId="0" xfId="0" applyAlignment="1" applyBorder="1" applyFont="1">
      <alignment horizontal="center" readingOrder="0" vertical="top"/>
    </xf>
    <xf borderId="12" fillId="0" fontId="6" numFmtId="0" xfId="0" applyBorder="1" applyFont="1"/>
    <xf borderId="15" fillId="0" fontId="5" numFmtId="164" xfId="0" applyBorder="1" applyFont="1" applyNumberFormat="1"/>
    <xf borderId="11" fillId="0" fontId="3" numFmtId="0" xfId="0" applyAlignment="1" applyBorder="1" applyFont="1">
      <alignment horizontal="center" readingOrder="0" vertical="top"/>
    </xf>
    <xf borderId="11" fillId="11" fontId="3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/>
    </xf>
    <xf borderId="9" fillId="11" fontId="3" numFmtId="0" xfId="0" applyAlignment="1" applyBorder="1" applyFont="1">
      <alignment horizontal="center" readingOrder="0" vertical="top"/>
    </xf>
    <xf borderId="14" fillId="11" fontId="6" numFmtId="0" xfId="0" applyBorder="1" applyFont="1"/>
    <xf borderId="10" fillId="11" fontId="5" numFmtId="164" xfId="0" applyBorder="1" applyFont="1" applyNumberFormat="1"/>
    <xf borderId="8" fillId="11" fontId="7" numFmtId="0" xfId="0" applyBorder="1" applyFont="1"/>
    <xf borderId="12" fillId="11" fontId="7" numFmtId="0" xfId="0" applyBorder="1" applyFont="1"/>
    <xf borderId="12" fillId="2" fontId="7" numFmtId="0" xfId="0" applyBorder="1" applyFont="1"/>
    <xf borderId="14" fillId="11" fontId="7" numFmtId="0" xfId="0" applyBorder="1" applyFont="1"/>
    <xf borderId="5" fillId="12" fontId="3" numFmtId="0" xfId="0" applyAlignment="1" applyBorder="1" applyFill="1" applyFont="1">
      <alignment horizontal="center" vertical="top"/>
    </xf>
    <xf borderId="6" fillId="12" fontId="3" numFmtId="0" xfId="0" applyAlignment="1" applyBorder="1" applyFont="1">
      <alignment horizontal="center" readingOrder="0" vertical="top"/>
    </xf>
    <xf borderId="6" fillId="12" fontId="5" numFmtId="0" xfId="0" applyBorder="1" applyFont="1"/>
    <xf borderId="7" fillId="12" fontId="6" numFmtId="0" xfId="0" applyBorder="1" applyFont="1"/>
    <xf borderId="7" fillId="12" fontId="5" numFmtId="0" xfId="0" applyBorder="1" applyFont="1"/>
    <xf borderId="5" fillId="12" fontId="1" numFmtId="0" xfId="0" applyBorder="1" applyFont="1"/>
    <xf borderId="0" fillId="12" fontId="3" numFmtId="0" xfId="0" applyAlignment="1" applyFont="1">
      <alignment horizontal="center" readingOrder="0" vertical="top"/>
    </xf>
    <xf borderId="11" fillId="12" fontId="5" numFmtId="0" xfId="0" applyBorder="1" applyFont="1"/>
    <xf borderId="0" fillId="12" fontId="6" numFmtId="0" xfId="0" applyFont="1"/>
    <xf borderId="0" fillId="12" fontId="5" numFmtId="0" xfId="0" applyFont="1"/>
    <xf borderId="15" fillId="12" fontId="1" numFmtId="0" xfId="0" applyBorder="1" applyFont="1"/>
    <xf borderId="15" fillId="0" fontId="1" numFmtId="0" xfId="0" applyBorder="1" applyFont="1"/>
    <xf borderId="11" fillId="12" fontId="3" numFmtId="0" xfId="0" applyAlignment="1" applyBorder="1" applyFont="1">
      <alignment horizontal="center" readingOrder="0" vertical="top"/>
    </xf>
    <xf borderId="9" fillId="12" fontId="3" numFmtId="0" xfId="0" applyAlignment="1" applyBorder="1" applyFont="1">
      <alignment horizontal="center" readingOrder="0" vertical="top"/>
    </xf>
    <xf borderId="9" fillId="12" fontId="5" numFmtId="0" xfId="0" applyBorder="1" applyFont="1"/>
    <xf borderId="13" fillId="12" fontId="5" numFmtId="0" xfId="0" applyBorder="1" applyFont="1"/>
    <xf borderId="13" fillId="12" fontId="6" numFmtId="0" xfId="0" applyBorder="1" applyFont="1"/>
    <xf borderId="10" fillId="12" fontId="1" numFmtId="0" xfId="0" applyBorder="1" applyFont="1"/>
    <xf borderId="0" fillId="11" fontId="7" numFmtId="0" xfId="0" applyFont="1"/>
    <xf borderId="0" fillId="0" fontId="7" numFmtId="0" xfId="0" applyFont="1"/>
    <xf borderId="13" fillId="11" fontId="7" numFmtId="0" xfId="0" applyBorder="1" applyFont="1"/>
    <xf borderId="1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14" fillId="0" fontId="2" numFmtId="0" xfId="0" applyBorder="1" applyFont="1"/>
    <xf borderId="1" fillId="10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vertical="bottom"/>
    </xf>
    <xf borderId="1" fillId="11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right" vertical="bottom"/>
    </xf>
    <xf borderId="6" fillId="0" fontId="11" numFmtId="0" xfId="0" applyAlignment="1" applyBorder="1" applyFont="1">
      <alignment horizontal="right" vertical="bottom"/>
    </xf>
    <xf borderId="8" fillId="2" fontId="10" numFmtId="0" xfId="0" applyAlignment="1" applyBorder="1" applyFont="1">
      <alignment horizontal="right" vertical="bottom"/>
    </xf>
    <xf borderId="8" fillId="0" fontId="10" numFmtId="0" xfId="0" applyAlignment="1" applyBorder="1" applyFont="1">
      <alignment horizontal="right" vertical="bottom"/>
    </xf>
    <xf borderId="7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1" fillId="0" fontId="10" numFmtId="0" xfId="0" applyAlignment="1" applyBorder="1" applyFont="1">
      <alignment horizontal="right" vertical="bottom"/>
    </xf>
    <xf borderId="12" fillId="0" fontId="11" numFmtId="0" xfId="0" applyAlignment="1" applyBorder="1" applyFont="1">
      <alignment horizontal="right" vertical="bottom"/>
    </xf>
    <xf borderId="12" fillId="2" fontId="11" numFmtId="0" xfId="0" applyAlignment="1" applyBorder="1" applyFont="1">
      <alignment horizontal="right" vertical="bottom"/>
    </xf>
    <xf borderId="11" fillId="0" fontId="11" numFmtId="0" xfId="0" applyAlignment="1" applyBorder="1" applyFont="1">
      <alignment horizontal="right" vertical="bottom"/>
    </xf>
    <xf borderId="12" fillId="0" fontId="10" numFmtId="0" xfId="0" applyAlignment="1" applyBorder="1" applyFont="1">
      <alignment horizontal="right" vertical="bottom"/>
    </xf>
    <xf borderId="0" fillId="0" fontId="12" numFmtId="0" xfId="0" applyAlignment="1" applyFont="1">
      <alignment vertical="bottom"/>
    </xf>
    <xf borderId="12" fillId="0" fontId="12" numFmtId="0" xfId="0" applyAlignment="1" applyBorder="1" applyFont="1">
      <alignment vertical="bottom"/>
    </xf>
    <xf borderId="11" fillId="0" fontId="12" numFmtId="0" xfId="0" applyAlignment="1" applyBorder="1" applyFont="1">
      <alignment horizontal="right" vertical="bottom"/>
    </xf>
    <xf borderId="12" fillId="2" fontId="10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center" readingOrder="0" vertical="top"/>
    </xf>
    <xf borderId="9" fillId="0" fontId="12" numFmtId="0" xfId="0" applyAlignment="1" applyBorder="1" applyFont="1">
      <alignment horizontal="right" vertical="bottom"/>
    </xf>
    <xf borderId="14" fillId="0" fontId="10" numFmtId="0" xfId="0" applyAlignment="1" applyBorder="1" applyFont="1">
      <alignment horizontal="right" vertical="bottom"/>
    </xf>
    <xf borderId="9" fillId="0" fontId="11" numFmtId="0" xfId="0" applyAlignment="1" applyBorder="1" applyFont="1">
      <alignment horizontal="right" vertical="bottom"/>
    </xf>
    <xf borderId="9" fillId="0" fontId="10" numFmtId="0" xfId="0" applyAlignment="1" applyBorder="1" applyFont="1">
      <alignment horizontal="right" vertical="bottom"/>
    </xf>
    <xf borderId="14" fillId="0" fontId="11" numFmtId="0" xfId="0" applyAlignment="1" applyBorder="1" applyFont="1">
      <alignment horizontal="right" vertical="bottom"/>
    </xf>
    <xf borderId="13" fillId="0" fontId="12" numFmtId="0" xfId="0" applyAlignment="1" applyBorder="1" applyFont="1">
      <alignment vertical="bottom"/>
    </xf>
    <xf borderId="14" fillId="0" fontId="12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7" fontId="8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13" fillId="0" fontId="10" numFmtId="0" xfId="0" applyAlignment="1" applyBorder="1" applyFont="1">
      <alignment horizontal="right" vertical="bottom"/>
    </xf>
    <xf borderId="13" fillId="0" fontId="11" numFmtId="0" xfId="0" applyAlignment="1" applyBorder="1" applyFont="1">
      <alignment horizontal="right" vertical="bottom"/>
    </xf>
    <xf borderId="7" fillId="0" fontId="11" numFmtId="0" xfId="0" applyAlignment="1" applyBorder="1" applyFont="1">
      <alignment horizontal="right" vertical="bottom"/>
    </xf>
    <xf borderId="6" fillId="0" fontId="5" numFmtId="0" xfId="0" applyBorder="1" applyFont="1"/>
    <xf borderId="7" fillId="0" fontId="6" numFmtId="0" xfId="0" applyBorder="1" applyFont="1"/>
    <xf borderId="5" fillId="0" fontId="1" numFmtId="0" xfId="0" applyBorder="1" applyFont="1"/>
    <xf borderId="0" fillId="0" fontId="3" numFmtId="0" xfId="0" applyAlignment="1" applyFont="1">
      <alignment horizontal="center" readingOrder="0" vertical="top"/>
    </xf>
    <xf borderId="0" fillId="0" fontId="13" numFmtId="0" xfId="0" applyFont="1"/>
    <xf borderId="9" fillId="0" fontId="5" numFmtId="0" xfId="0" applyBorder="1" applyFont="1"/>
    <xf borderId="13" fillId="0" fontId="13" numFmtId="0" xfId="0" applyBorder="1" applyFont="1"/>
    <xf borderId="13" fillId="0" fontId="6" numFmtId="0" xfId="0" applyBorder="1" applyFont="1"/>
    <xf borderId="10" fillId="0" fontId="1" numFmtId="0" xfId="0" applyBorder="1" applyFont="1"/>
    <xf borderId="6" fillId="3" fontId="3" numFmtId="0" xfId="0" applyAlignment="1" applyBorder="1" applyFont="1">
      <alignment horizontal="center" readingOrder="0" vertical="top"/>
    </xf>
    <xf borderId="7" fillId="3" fontId="6" numFmtId="0" xfId="0" applyBorder="1" applyFont="1"/>
    <xf borderId="5" fillId="3" fontId="1" numFmtId="0" xfId="0" applyBorder="1" applyFont="1"/>
    <xf borderId="15" fillId="3" fontId="5" numFmtId="164" xfId="0" applyBorder="1" applyFont="1" applyNumberFormat="1"/>
    <xf borderId="0" fillId="3" fontId="3" numFmtId="0" xfId="0" applyAlignment="1" applyFont="1">
      <alignment horizontal="center" readingOrder="0" vertical="top"/>
    </xf>
    <xf borderId="0" fillId="3" fontId="6" numFmtId="0" xfId="0" applyFont="1"/>
    <xf borderId="15" fillId="3" fontId="1" numFmtId="0" xfId="0" applyBorder="1" applyFont="1"/>
    <xf borderId="11" fillId="3" fontId="3" numFmtId="0" xfId="0" applyAlignment="1" applyBorder="1" applyFont="1">
      <alignment horizontal="center" readingOrder="0" vertical="top"/>
    </xf>
    <xf borderId="9" fillId="3" fontId="3" numFmtId="0" xfId="0" applyAlignment="1" applyBorder="1" applyFont="1">
      <alignment horizontal="center" readingOrder="0" vertical="top"/>
    </xf>
    <xf borderId="13" fillId="3" fontId="6" numFmtId="0" xfId="0" applyBorder="1" applyFont="1"/>
    <xf borderId="10" fillId="3" fontId="1" numFmtId="0" xfId="0" applyBorder="1" applyFont="1"/>
    <xf borderId="10" fillId="3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7" t="s">
        <v>14</v>
      </c>
      <c r="O2" s="8" t="s">
        <v>15</v>
      </c>
    </row>
    <row r="3">
      <c r="A3" s="9" t="s">
        <v>16</v>
      </c>
      <c r="B3" s="10" t="s">
        <v>17</v>
      </c>
      <c r="C3" s="11">
        <v>220.0</v>
      </c>
      <c r="D3" s="12">
        <v>210.0</v>
      </c>
      <c r="E3" s="12">
        <v>230.0</v>
      </c>
      <c r="F3" s="12">
        <v>220.0</v>
      </c>
      <c r="G3" s="12">
        <v>200.0</v>
      </c>
      <c r="H3" s="12">
        <v>230.0</v>
      </c>
      <c r="I3" s="12">
        <v>140.0</v>
      </c>
      <c r="J3" s="12">
        <v>240.0</v>
      </c>
      <c r="K3" s="12">
        <v>410.0</v>
      </c>
      <c r="L3" s="13">
        <v>270.0</v>
      </c>
      <c r="M3" s="14">
        <f t="shared" ref="M3:M12" si="1">AVERAGE(C3:L3)</f>
        <v>237</v>
      </c>
      <c r="N3" s="15">
        <f t="shared" ref="N3:N12" si="2">MAX(C3:L3)</f>
        <v>410</v>
      </c>
      <c r="O3" s="16">
        <f t="shared" ref="O3:O12" si="3">_xlfn.PERCENTILE.INC(C3:L3, 0.9)</f>
        <v>284</v>
      </c>
    </row>
    <row r="4">
      <c r="A4" s="17"/>
      <c r="B4" s="18" t="s">
        <v>18</v>
      </c>
      <c r="C4" s="19">
        <v>221.704</v>
      </c>
      <c r="D4" s="20">
        <v>223.517</v>
      </c>
      <c r="E4" s="20">
        <v>221.68</v>
      </c>
      <c r="F4" s="20">
        <v>222.959</v>
      </c>
      <c r="G4" s="20">
        <v>205.415</v>
      </c>
      <c r="H4" s="20">
        <v>225.229</v>
      </c>
      <c r="I4" s="20">
        <v>136.005</v>
      </c>
      <c r="J4" s="20">
        <v>248.649</v>
      </c>
      <c r="K4" s="20">
        <v>420.568</v>
      </c>
      <c r="L4" s="21">
        <v>267.483</v>
      </c>
      <c r="M4" s="22">
        <f t="shared" si="1"/>
        <v>239.3209</v>
      </c>
      <c r="N4" s="23">
        <f t="shared" si="2"/>
        <v>420.568</v>
      </c>
      <c r="O4" s="24">
        <f t="shared" si="3"/>
        <v>282.7915</v>
      </c>
    </row>
    <row r="5">
      <c r="A5" s="25" t="s">
        <v>19</v>
      </c>
      <c r="B5" s="5" t="s">
        <v>17</v>
      </c>
      <c r="C5" s="26">
        <v>330.0</v>
      </c>
      <c r="D5" s="27">
        <v>330.0</v>
      </c>
      <c r="E5" s="27">
        <v>380.0</v>
      </c>
      <c r="F5" s="27">
        <v>330.0</v>
      </c>
      <c r="G5" s="27">
        <v>370.0</v>
      </c>
      <c r="H5" s="27">
        <v>820.0</v>
      </c>
      <c r="I5" s="27">
        <v>270.0</v>
      </c>
      <c r="J5" s="27">
        <v>400.0</v>
      </c>
      <c r="K5" s="27">
        <v>880.0</v>
      </c>
      <c r="L5" s="28">
        <v>560.0</v>
      </c>
      <c r="M5" s="29">
        <f t="shared" si="1"/>
        <v>467</v>
      </c>
      <c r="N5" s="30">
        <f t="shared" si="2"/>
        <v>880</v>
      </c>
      <c r="O5" s="31">
        <f t="shared" si="3"/>
        <v>826</v>
      </c>
    </row>
    <row r="6">
      <c r="A6" s="32"/>
      <c r="B6" s="33" t="s">
        <v>18</v>
      </c>
      <c r="C6" s="26">
        <v>331.161</v>
      </c>
      <c r="D6" s="27">
        <v>331.025</v>
      </c>
      <c r="E6" s="27">
        <v>375.384</v>
      </c>
      <c r="F6" s="27">
        <v>330.003</v>
      </c>
      <c r="G6" s="27">
        <v>362.534</v>
      </c>
      <c r="H6" s="27">
        <v>822.173</v>
      </c>
      <c r="I6" s="27">
        <v>262.019</v>
      </c>
      <c r="J6" s="27">
        <v>392.524</v>
      </c>
      <c r="K6" s="27">
        <v>875.947</v>
      </c>
      <c r="L6" s="28">
        <v>575.836</v>
      </c>
      <c r="M6" s="29">
        <f t="shared" si="1"/>
        <v>465.8606</v>
      </c>
      <c r="N6" s="30">
        <f t="shared" si="2"/>
        <v>875.947</v>
      </c>
      <c r="O6" s="31">
        <f t="shared" si="3"/>
        <v>827.5504</v>
      </c>
    </row>
    <row r="7">
      <c r="A7" s="34" t="s">
        <v>20</v>
      </c>
      <c r="B7" s="10" t="s">
        <v>17</v>
      </c>
      <c r="C7" s="19">
        <v>690.0</v>
      </c>
      <c r="D7" s="20">
        <v>720.0</v>
      </c>
      <c r="E7" s="20">
        <v>710.0</v>
      </c>
      <c r="F7" s="20">
        <v>730.0</v>
      </c>
      <c r="G7" s="20">
        <v>630.0</v>
      </c>
      <c r="H7" s="20">
        <v>1040.0</v>
      </c>
      <c r="I7" s="20">
        <v>1450.0</v>
      </c>
      <c r="J7" s="20">
        <v>1060.0</v>
      </c>
      <c r="K7" s="20">
        <v>1130.0</v>
      </c>
      <c r="L7" s="21">
        <v>1110.0</v>
      </c>
      <c r="M7" s="22">
        <f t="shared" si="1"/>
        <v>927</v>
      </c>
      <c r="N7" s="23">
        <f t="shared" si="2"/>
        <v>1450</v>
      </c>
      <c r="O7" s="24">
        <f t="shared" si="3"/>
        <v>1162</v>
      </c>
    </row>
    <row r="8">
      <c r="A8" s="32"/>
      <c r="B8" s="18" t="s">
        <v>18</v>
      </c>
      <c r="C8" s="19">
        <v>699.056</v>
      </c>
      <c r="D8" s="20">
        <v>715.341</v>
      </c>
      <c r="E8" s="20">
        <v>714.033</v>
      </c>
      <c r="F8" s="20">
        <v>722.883</v>
      </c>
      <c r="G8" s="20">
        <v>633.285</v>
      </c>
      <c r="H8" s="20">
        <v>1045.82</v>
      </c>
      <c r="I8" s="20">
        <v>1461.3</v>
      </c>
      <c r="J8" s="20">
        <v>1069.67</v>
      </c>
      <c r="K8" s="20">
        <v>1142.23</v>
      </c>
      <c r="L8" s="21">
        <v>1116.22</v>
      </c>
      <c r="M8" s="22">
        <f t="shared" si="1"/>
        <v>931.9838</v>
      </c>
      <c r="N8" s="23">
        <f t="shared" si="2"/>
        <v>1461.3</v>
      </c>
      <c r="O8" s="24">
        <f t="shared" si="3"/>
        <v>1174.137</v>
      </c>
    </row>
    <row r="9">
      <c r="A9" s="25" t="s">
        <v>21</v>
      </c>
      <c r="B9" s="5" t="s">
        <v>17</v>
      </c>
      <c r="C9" s="26">
        <v>1230.0</v>
      </c>
      <c r="D9" s="27">
        <v>1180.0</v>
      </c>
      <c r="E9" s="27">
        <v>1210.0</v>
      </c>
      <c r="F9" s="27">
        <v>1210.0</v>
      </c>
      <c r="G9" s="27">
        <v>1190.0</v>
      </c>
      <c r="H9" s="27">
        <v>1150.0</v>
      </c>
      <c r="I9" s="27">
        <v>1410.0</v>
      </c>
      <c r="J9" s="27">
        <v>3120.0</v>
      </c>
      <c r="K9" s="27">
        <v>2320.0</v>
      </c>
      <c r="L9" s="28">
        <v>1690.0</v>
      </c>
      <c r="M9" s="29">
        <f t="shared" si="1"/>
        <v>1571</v>
      </c>
      <c r="N9" s="30">
        <f t="shared" si="2"/>
        <v>3120</v>
      </c>
      <c r="O9" s="31">
        <f t="shared" si="3"/>
        <v>2400</v>
      </c>
    </row>
    <row r="10">
      <c r="A10" s="32"/>
      <c r="B10" s="33" t="s">
        <v>18</v>
      </c>
      <c r="C10" s="26">
        <v>1233.12</v>
      </c>
      <c r="D10" s="27">
        <v>1183.09</v>
      </c>
      <c r="E10" s="27">
        <v>1211.16</v>
      </c>
      <c r="F10" s="27">
        <v>1203.01</v>
      </c>
      <c r="G10" s="27">
        <v>1197.86</v>
      </c>
      <c r="H10" s="27">
        <v>1152.22</v>
      </c>
      <c r="I10" s="27">
        <v>1416.55</v>
      </c>
      <c r="J10" s="27">
        <v>3124.88</v>
      </c>
      <c r="K10" s="27">
        <v>2319.6</v>
      </c>
      <c r="L10" s="28">
        <v>1688.96</v>
      </c>
      <c r="M10" s="29">
        <f t="shared" si="1"/>
        <v>1573.045</v>
      </c>
      <c r="N10" s="30">
        <f t="shared" si="2"/>
        <v>3124.88</v>
      </c>
      <c r="O10" s="31">
        <f t="shared" si="3"/>
        <v>2400.128</v>
      </c>
    </row>
    <row r="11">
      <c r="A11" s="34" t="s">
        <v>22</v>
      </c>
      <c r="B11" s="10" t="s">
        <v>17</v>
      </c>
      <c r="C11" s="19">
        <v>2390.0</v>
      </c>
      <c r="D11" s="20">
        <v>2350.0</v>
      </c>
      <c r="E11" s="20">
        <v>2380.0</v>
      </c>
      <c r="F11" s="20">
        <v>2250.0</v>
      </c>
      <c r="G11" s="20">
        <v>2460.0</v>
      </c>
      <c r="H11" s="20">
        <v>4410.0</v>
      </c>
      <c r="I11" s="20">
        <v>3590.0</v>
      </c>
      <c r="J11" s="20">
        <v>2490.0</v>
      </c>
      <c r="K11" s="20">
        <v>3660.0</v>
      </c>
      <c r="L11" s="21">
        <v>3560.0</v>
      </c>
      <c r="M11" s="22">
        <f t="shared" si="1"/>
        <v>2954</v>
      </c>
      <c r="N11" s="23">
        <f t="shared" si="2"/>
        <v>4410</v>
      </c>
      <c r="O11" s="24">
        <f t="shared" si="3"/>
        <v>3735</v>
      </c>
    </row>
    <row r="12">
      <c r="A12" s="32"/>
      <c r="B12" s="18" t="s">
        <v>18</v>
      </c>
      <c r="C12" s="35">
        <v>2386.72</v>
      </c>
      <c r="D12" s="36">
        <v>2364.34</v>
      </c>
      <c r="E12" s="36">
        <v>2381.91</v>
      </c>
      <c r="F12" s="36">
        <v>2249.73</v>
      </c>
      <c r="G12" s="36">
        <v>2470.02</v>
      </c>
      <c r="H12" s="36">
        <v>4418.93</v>
      </c>
      <c r="I12" s="36">
        <v>3601.23</v>
      </c>
      <c r="J12" s="36">
        <v>2495.31</v>
      </c>
      <c r="K12" s="36">
        <v>3667.92</v>
      </c>
      <c r="L12" s="37">
        <v>3567.6</v>
      </c>
      <c r="M12" s="38">
        <f t="shared" si="1"/>
        <v>2960.371</v>
      </c>
      <c r="N12" s="39">
        <f t="shared" si="2"/>
        <v>4418.93</v>
      </c>
      <c r="O12" s="40">
        <f t="shared" si="3"/>
        <v>3743.021</v>
      </c>
    </row>
    <row r="13">
      <c r="O13" s="41"/>
    </row>
    <row r="14">
      <c r="O14" s="41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N15" s="43"/>
      <c r="O15" s="44"/>
    </row>
    <row r="16">
      <c r="A16" s="42"/>
      <c r="B16" s="42"/>
      <c r="C16" s="27"/>
      <c r="D16" s="27"/>
      <c r="E16" s="27"/>
      <c r="F16" s="27"/>
      <c r="G16" s="27"/>
      <c r="H16" s="27"/>
      <c r="I16" s="27"/>
      <c r="J16" s="27"/>
      <c r="K16" s="27"/>
      <c r="L16" s="27"/>
      <c r="O16" s="41"/>
    </row>
    <row r="17">
      <c r="B17" s="42"/>
      <c r="C17" s="27"/>
      <c r="D17" s="27"/>
      <c r="E17" s="27"/>
      <c r="F17" s="27"/>
      <c r="G17" s="27"/>
      <c r="H17" s="27"/>
      <c r="I17" s="27"/>
      <c r="J17" s="27"/>
      <c r="K17" s="27"/>
      <c r="L17" s="27"/>
      <c r="O17" s="41"/>
    </row>
    <row r="18">
      <c r="A18" s="42"/>
      <c r="B18" s="42"/>
      <c r="C18" s="27"/>
      <c r="D18" s="27"/>
      <c r="E18" s="27"/>
      <c r="F18" s="27"/>
      <c r="G18" s="27"/>
      <c r="H18" s="27"/>
      <c r="I18" s="27"/>
      <c r="J18" s="27"/>
      <c r="K18" s="27"/>
      <c r="L18" s="27"/>
      <c r="O18" s="41"/>
    </row>
    <row r="19">
      <c r="B19" s="42"/>
      <c r="C19" s="27"/>
      <c r="D19" s="27"/>
      <c r="E19" s="27"/>
      <c r="F19" s="27"/>
      <c r="G19" s="27"/>
      <c r="H19" s="27"/>
      <c r="I19" s="27"/>
      <c r="J19" s="27"/>
      <c r="K19" s="27"/>
      <c r="L19" s="27"/>
      <c r="O19" s="41"/>
    </row>
    <row r="20">
      <c r="A20" s="42"/>
      <c r="B20" s="42"/>
      <c r="C20" s="27"/>
      <c r="D20" s="27"/>
      <c r="E20" s="27"/>
      <c r="F20" s="27"/>
      <c r="G20" s="27"/>
      <c r="H20" s="27"/>
      <c r="I20" s="27"/>
      <c r="J20" s="27"/>
      <c r="K20" s="27"/>
      <c r="L20" s="27"/>
      <c r="O20" s="41"/>
    </row>
    <row r="21">
      <c r="B21" s="42"/>
      <c r="C21" s="27"/>
      <c r="D21" s="27"/>
      <c r="E21" s="27"/>
      <c r="F21" s="27"/>
      <c r="G21" s="27"/>
      <c r="H21" s="27"/>
      <c r="I21" s="27"/>
      <c r="J21" s="27"/>
      <c r="K21" s="27"/>
      <c r="L21" s="27"/>
      <c r="O21" s="41"/>
    </row>
    <row r="22">
      <c r="A22" s="42"/>
      <c r="B22" s="42"/>
      <c r="C22" s="27"/>
      <c r="D22" s="27"/>
      <c r="E22" s="27"/>
      <c r="F22" s="27"/>
      <c r="G22" s="27"/>
      <c r="H22" s="27"/>
      <c r="I22" s="27"/>
      <c r="J22" s="27"/>
      <c r="K22" s="27"/>
      <c r="L22" s="27"/>
      <c r="O22" s="41"/>
    </row>
    <row r="23">
      <c r="B23" s="42"/>
      <c r="C23" s="27"/>
      <c r="D23" s="27"/>
      <c r="E23" s="27"/>
      <c r="F23" s="27"/>
      <c r="G23" s="27"/>
      <c r="H23" s="27"/>
      <c r="I23" s="27"/>
      <c r="J23" s="27"/>
      <c r="K23" s="27"/>
      <c r="L23" s="27"/>
      <c r="O23" s="41"/>
    </row>
    <row r="24">
      <c r="A24" s="42"/>
      <c r="B24" s="42"/>
      <c r="C24" s="27"/>
      <c r="D24" s="27"/>
      <c r="E24" s="27"/>
      <c r="F24" s="27"/>
      <c r="G24" s="27"/>
      <c r="H24" s="27"/>
      <c r="I24" s="27"/>
      <c r="J24" s="27"/>
      <c r="K24" s="27"/>
      <c r="L24" s="27"/>
      <c r="O24" s="41"/>
    </row>
    <row r="25">
      <c r="B25" s="42"/>
      <c r="C25" s="27"/>
      <c r="D25" s="27"/>
      <c r="E25" s="27"/>
      <c r="F25" s="27"/>
      <c r="G25" s="27"/>
      <c r="H25" s="27"/>
      <c r="I25" s="27"/>
      <c r="J25" s="27"/>
      <c r="K25" s="27"/>
      <c r="L25" s="27"/>
      <c r="O25" s="41"/>
    </row>
    <row r="26">
      <c r="O26" s="41"/>
    </row>
    <row r="27">
      <c r="O27" s="41"/>
    </row>
    <row r="28">
      <c r="O28" s="41"/>
    </row>
    <row r="29">
      <c r="O29" s="41"/>
    </row>
    <row r="30">
      <c r="O30" s="41"/>
    </row>
    <row r="31">
      <c r="O31" s="41"/>
    </row>
    <row r="32">
      <c r="O32" s="41"/>
    </row>
    <row r="33">
      <c r="O33" s="41"/>
    </row>
    <row r="34">
      <c r="O34" s="41"/>
    </row>
    <row r="35">
      <c r="O35" s="41"/>
    </row>
    <row r="36">
      <c r="O36" s="41"/>
    </row>
    <row r="37">
      <c r="O37" s="41"/>
    </row>
    <row r="38">
      <c r="O38" s="41"/>
    </row>
    <row r="39">
      <c r="O39" s="41"/>
    </row>
    <row r="40">
      <c r="O40" s="41"/>
    </row>
    <row r="41">
      <c r="O41" s="41"/>
    </row>
    <row r="42">
      <c r="O42" s="41"/>
    </row>
    <row r="43">
      <c r="O43" s="41"/>
    </row>
    <row r="44">
      <c r="O44" s="41"/>
    </row>
    <row r="45">
      <c r="O45" s="41"/>
    </row>
    <row r="46">
      <c r="O46" s="41"/>
    </row>
    <row r="47">
      <c r="O47" s="41"/>
    </row>
    <row r="48">
      <c r="O48" s="41"/>
    </row>
    <row r="49">
      <c r="O49" s="41"/>
    </row>
    <row r="50">
      <c r="O50" s="41"/>
    </row>
    <row r="51">
      <c r="O51" s="41"/>
    </row>
    <row r="52">
      <c r="O52" s="41"/>
    </row>
    <row r="53">
      <c r="O53" s="41"/>
    </row>
    <row r="54">
      <c r="O54" s="41"/>
    </row>
    <row r="55">
      <c r="O55" s="41"/>
    </row>
    <row r="56">
      <c r="O56" s="41"/>
    </row>
    <row r="57">
      <c r="O57" s="41"/>
    </row>
    <row r="58">
      <c r="O58" s="41"/>
    </row>
    <row r="59">
      <c r="O59" s="41"/>
    </row>
    <row r="60">
      <c r="O60" s="41"/>
    </row>
    <row r="61">
      <c r="O61" s="41"/>
    </row>
    <row r="62">
      <c r="O62" s="41"/>
    </row>
    <row r="63">
      <c r="O63" s="41"/>
    </row>
    <row r="64">
      <c r="O64" s="41"/>
    </row>
    <row r="65">
      <c r="O65" s="41"/>
    </row>
    <row r="66">
      <c r="O66" s="41"/>
    </row>
    <row r="67">
      <c r="O67" s="41"/>
    </row>
    <row r="68">
      <c r="O68" s="41"/>
    </row>
    <row r="69">
      <c r="O69" s="41"/>
    </row>
    <row r="70">
      <c r="O70" s="41"/>
    </row>
    <row r="71">
      <c r="O71" s="41"/>
    </row>
    <row r="72">
      <c r="O72" s="41"/>
    </row>
    <row r="73">
      <c r="O73" s="41"/>
    </row>
    <row r="74">
      <c r="O74" s="41"/>
    </row>
    <row r="75">
      <c r="O75" s="41"/>
    </row>
    <row r="76">
      <c r="O76" s="41"/>
    </row>
    <row r="77">
      <c r="O77" s="41"/>
    </row>
    <row r="78">
      <c r="O78" s="41"/>
    </row>
    <row r="79">
      <c r="O79" s="41"/>
    </row>
    <row r="80">
      <c r="O80" s="41"/>
    </row>
    <row r="81">
      <c r="O81" s="41"/>
    </row>
    <row r="82">
      <c r="O82" s="41"/>
    </row>
    <row r="83">
      <c r="O83" s="41"/>
    </row>
    <row r="84">
      <c r="O84" s="41"/>
    </row>
    <row r="85">
      <c r="O85" s="41"/>
    </row>
    <row r="86">
      <c r="O86" s="41"/>
    </row>
    <row r="87">
      <c r="O87" s="41"/>
    </row>
    <row r="88">
      <c r="O88" s="41"/>
    </row>
    <row r="89">
      <c r="O89" s="41"/>
    </row>
    <row r="90">
      <c r="O90" s="41"/>
    </row>
    <row r="91">
      <c r="O91" s="41"/>
    </row>
    <row r="92">
      <c r="O92" s="41"/>
    </row>
    <row r="93">
      <c r="O93" s="41"/>
    </row>
    <row r="94">
      <c r="O94" s="41"/>
    </row>
    <row r="95">
      <c r="O95" s="41"/>
    </row>
    <row r="96">
      <c r="O96" s="41"/>
    </row>
    <row r="97">
      <c r="O97" s="41"/>
    </row>
    <row r="98">
      <c r="O98" s="41"/>
    </row>
    <row r="99">
      <c r="O99" s="41"/>
    </row>
    <row r="100">
      <c r="O100" s="41"/>
    </row>
    <row r="101">
      <c r="O101" s="41"/>
    </row>
    <row r="102">
      <c r="O102" s="41"/>
    </row>
    <row r="103">
      <c r="O103" s="41"/>
    </row>
    <row r="104">
      <c r="O104" s="41"/>
    </row>
    <row r="105">
      <c r="O105" s="41"/>
    </row>
    <row r="106">
      <c r="O106" s="41"/>
    </row>
    <row r="107">
      <c r="O107" s="41"/>
    </row>
    <row r="108">
      <c r="O108" s="41"/>
    </row>
    <row r="109">
      <c r="O109" s="41"/>
    </row>
    <row r="110">
      <c r="O110" s="41"/>
    </row>
    <row r="111">
      <c r="O111" s="41"/>
    </row>
    <row r="112">
      <c r="O112" s="41"/>
    </row>
    <row r="113">
      <c r="O113" s="41"/>
    </row>
    <row r="114">
      <c r="O114" s="41"/>
    </row>
    <row r="115">
      <c r="O115" s="41"/>
    </row>
    <row r="116">
      <c r="O116" s="41"/>
    </row>
    <row r="117">
      <c r="O117" s="41"/>
    </row>
    <row r="118">
      <c r="O118" s="41"/>
    </row>
    <row r="119">
      <c r="O119" s="41"/>
    </row>
    <row r="120">
      <c r="O120" s="41"/>
    </row>
    <row r="121">
      <c r="O121" s="41"/>
    </row>
    <row r="122">
      <c r="O122" s="41"/>
    </row>
    <row r="123">
      <c r="O123" s="41"/>
    </row>
    <row r="124">
      <c r="O124" s="41"/>
    </row>
    <row r="125">
      <c r="O125" s="41"/>
    </row>
    <row r="126">
      <c r="O126" s="41"/>
    </row>
    <row r="127">
      <c r="O127" s="41"/>
    </row>
    <row r="128">
      <c r="O128" s="41"/>
    </row>
    <row r="129">
      <c r="O129" s="41"/>
    </row>
    <row r="130">
      <c r="O130" s="41"/>
    </row>
    <row r="131">
      <c r="O131" s="41"/>
    </row>
    <row r="132">
      <c r="O132" s="41"/>
    </row>
    <row r="133">
      <c r="O133" s="41"/>
    </row>
    <row r="134">
      <c r="O134" s="41"/>
    </row>
    <row r="135">
      <c r="O135" s="41"/>
    </row>
    <row r="136">
      <c r="O136" s="41"/>
    </row>
    <row r="137">
      <c r="O137" s="41"/>
    </row>
    <row r="138">
      <c r="O138" s="41"/>
    </row>
    <row r="139">
      <c r="O139" s="41"/>
    </row>
    <row r="140">
      <c r="O140" s="41"/>
    </row>
    <row r="141">
      <c r="O141" s="41"/>
    </row>
    <row r="142">
      <c r="O142" s="41"/>
    </row>
    <row r="143">
      <c r="O143" s="41"/>
    </row>
    <row r="144">
      <c r="O144" s="41"/>
    </row>
    <row r="145">
      <c r="O145" s="41"/>
    </row>
    <row r="146">
      <c r="O146" s="41"/>
    </row>
    <row r="147">
      <c r="O147" s="41"/>
    </row>
    <row r="148">
      <c r="O148" s="41"/>
    </row>
    <row r="149">
      <c r="O149" s="41"/>
    </row>
    <row r="150">
      <c r="O150" s="41"/>
    </row>
    <row r="151">
      <c r="O151" s="41"/>
    </row>
    <row r="152">
      <c r="O152" s="41"/>
    </row>
    <row r="153">
      <c r="O153" s="41"/>
    </row>
    <row r="154">
      <c r="O154" s="41"/>
    </row>
    <row r="155">
      <c r="O155" s="41"/>
    </row>
    <row r="156">
      <c r="O156" s="41"/>
    </row>
    <row r="157">
      <c r="O157" s="41"/>
    </row>
    <row r="158">
      <c r="O158" s="41"/>
    </row>
    <row r="159">
      <c r="O159" s="41"/>
    </row>
    <row r="160">
      <c r="O160" s="41"/>
    </row>
    <row r="161">
      <c r="O161" s="41"/>
    </row>
    <row r="162">
      <c r="O162" s="41"/>
    </row>
    <row r="163">
      <c r="O163" s="41"/>
    </row>
    <row r="164">
      <c r="O164" s="41"/>
    </row>
    <row r="165">
      <c r="O165" s="41"/>
    </row>
    <row r="166">
      <c r="O166" s="41"/>
    </row>
    <row r="167">
      <c r="O167" s="41"/>
    </row>
    <row r="168">
      <c r="O168" s="41"/>
    </row>
    <row r="169">
      <c r="O169" s="41"/>
    </row>
    <row r="170">
      <c r="O170" s="41"/>
    </row>
    <row r="171">
      <c r="O171" s="41"/>
    </row>
    <row r="172">
      <c r="O172" s="41"/>
    </row>
    <row r="173">
      <c r="O173" s="41"/>
    </row>
    <row r="174">
      <c r="O174" s="41"/>
    </row>
    <row r="175">
      <c r="O175" s="41"/>
    </row>
    <row r="176">
      <c r="O176" s="41"/>
    </row>
    <row r="177">
      <c r="O177" s="41"/>
    </row>
    <row r="178">
      <c r="O178" s="41"/>
    </row>
    <row r="179">
      <c r="O179" s="41"/>
    </row>
    <row r="180">
      <c r="O180" s="41"/>
    </row>
    <row r="181">
      <c r="O181" s="41"/>
    </row>
    <row r="182">
      <c r="O182" s="41"/>
    </row>
    <row r="183">
      <c r="O183" s="41"/>
    </row>
    <row r="184">
      <c r="O184" s="41"/>
    </row>
    <row r="185">
      <c r="O185" s="41"/>
    </row>
    <row r="186">
      <c r="O186" s="41"/>
    </row>
    <row r="187">
      <c r="O187" s="41"/>
    </row>
    <row r="188">
      <c r="O188" s="41"/>
    </row>
    <row r="189">
      <c r="O189" s="41"/>
    </row>
    <row r="190">
      <c r="O190" s="41"/>
    </row>
    <row r="191">
      <c r="O191" s="41"/>
    </row>
    <row r="192">
      <c r="O192" s="41"/>
    </row>
    <row r="193">
      <c r="O193" s="41"/>
    </row>
    <row r="194">
      <c r="O194" s="41"/>
    </row>
    <row r="195">
      <c r="O195" s="41"/>
    </row>
    <row r="196">
      <c r="O196" s="41"/>
    </row>
    <row r="197">
      <c r="O197" s="41"/>
    </row>
    <row r="198">
      <c r="O198" s="41"/>
    </row>
    <row r="199">
      <c r="O199" s="41"/>
    </row>
    <row r="200">
      <c r="O200" s="41"/>
    </row>
    <row r="201">
      <c r="O201" s="41"/>
    </row>
    <row r="202">
      <c r="O202" s="41"/>
    </row>
    <row r="203">
      <c r="O203" s="41"/>
    </row>
    <row r="204">
      <c r="O204" s="41"/>
    </row>
    <row r="205">
      <c r="O205" s="41"/>
    </row>
    <row r="206">
      <c r="O206" s="41"/>
    </row>
    <row r="207">
      <c r="O207" s="41"/>
    </row>
    <row r="208">
      <c r="O208" s="41"/>
    </row>
    <row r="209">
      <c r="O209" s="41"/>
    </row>
    <row r="210">
      <c r="O210" s="41"/>
    </row>
    <row r="211">
      <c r="O211" s="41"/>
    </row>
    <row r="212">
      <c r="O212" s="41"/>
    </row>
    <row r="213">
      <c r="O213" s="41"/>
    </row>
    <row r="214">
      <c r="O214" s="41"/>
    </row>
    <row r="215">
      <c r="O215" s="41"/>
    </row>
    <row r="216">
      <c r="O216" s="41"/>
    </row>
    <row r="217">
      <c r="O217" s="41"/>
    </row>
    <row r="218">
      <c r="O218" s="41"/>
    </row>
    <row r="219">
      <c r="O219" s="41"/>
    </row>
    <row r="220">
      <c r="O220" s="41"/>
    </row>
    <row r="221">
      <c r="O221" s="41"/>
    </row>
    <row r="222">
      <c r="O222" s="41"/>
    </row>
    <row r="223">
      <c r="O223" s="41"/>
    </row>
    <row r="224">
      <c r="O224" s="41"/>
    </row>
    <row r="225">
      <c r="O225" s="41"/>
    </row>
    <row r="226">
      <c r="O226" s="41"/>
    </row>
    <row r="227">
      <c r="O227" s="41"/>
    </row>
    <row r="228">
      <c r="O228" s="41"/>
    </row>
    <row r="229">
      <c r="O229" s="41"/>
    </row>
    <row r="230">
      <c r="O230" s="41"/>
    </row>
    <row r="231">
      <c r="O231" s="41"/>
    </row>
    <row r="232">
      <c r="O232" s="41"/>
    </row>
    <row r="233">
      <c r="O233" s="41"/>
    </row>
    <row r="234">
      <c r="O234" s="41"/>
    </row>
    <row r="235">
      <c r="O235" s="41"/>
    </row>
    <row r="236">
      <c r="O236" s="41"/>
    </row>
    <row r="237">
      <c r="O237" s="41"/>
    </row>
    <row r="238">
      <c r="O238" s="41"/>
    </row>
    <row r="239">
      <c r="O239" s="41"/>
    </row>
    <row r="240">
      <c r="O240" s="41"/>
    </row>
    <row r="241">
      <c r="O241" s="41"/>
    </row>
    <row r="242">
      <c r="O242" s="41"/>
    </row>
    <row r="243">
      <c r="O243" s="41"/>
    </row>
    <row r="244">
      <c r="O244" s="41"/>
    </row>
    <row r="245">
      <c r="O245" s="41"/>
    </row>
    <row r="246">
      <c r="O246" s="41"/>
    </row>
    <row r="247">
      <c r="O247" s="41"/>
    </row>
    <row r="248">
      <c r="O248" s="41"/>
    </row>
    <row r="249">
      <c r="O249" s="41"/>
    </row>
    <row r="250">
      <c r="O250" s="41"/>
    </row>
    <row r="251">
      <c r="O251" s="41"/>
    </row>
    <row r="252">
      <c r="O252" s="41"/>
    </row>
    <row r="253">
      <c r="O253" s="41"/>
    </row>
    <row r="254">
      <c r="O254" s="41"/>
    </row>
    <row r="255">
      <c r="O255" s="41"/>
    </row>
    <row r="256">
      <c r="O256" s="41"/>
    </row>
    <row r="257">
      <c r="O257" s="41"/>
    </row>
    <row r="258">
      <c r="O258" s="41"/>
    </row>
    <row r="259">
      <c r="O259" s="41"/>
    </row>
    <row r="260">
      <c r="O260" s="41"/>
    </row>
    <row r="261">
      <c r="O261" s="41"/>
    </row>
    <row r="262">
      <c r="O262" s="41"/>
    </row>
    <row r="263">
      <c r="O263" s="41"/>
    </row>
    <row r="264">
      <c r="O264" s="41"/>
    </row>
    <row r="265">
      <c r="O265" s="41"/>
    </row>
    <row r="266">
      <c r="O266" s="41"/>
    </row>
    <row r="267">
      <c r="O267" s="41"/>
    </row>
    <row r="268">
      <c r="O268" s="41"/>
    </row>
    <row r="269">
      <c r="O269" s="41"/>
    </row>
    <row r="270">
      <c r="O270" s="41"/>
    </row>
    <row r="271">
      <c r="O271" s="41"/>
    </row>
    <row r="272">
      <c r="O272" s="41"/>
    </row>
    <row r="273">
      <c r="O273" s="41"/>
    </row>
    <row r="274">
      <c r="O274" s="41"/>
    </row>
    <row r="275">
      <c r="O275" s="41"/>
    </row>
    <row r="276">
      <c r="O276" s="41"/>
    </row>
    <row r="277">
      <c r="O277" s="41"/>
    </row>
    <row r="278">
      <c r="O278" s="41"/>
    </row>
    <row r="279">
      <c r="O279" s="41"/>
    </row>
    <row r="280">
      <c r="O280" s="41"/>
    </row>
    <row r="281">
      <c r="O281" s="41"/>
    </row>
    <row r="282">
      <c r="O282" s="41"/>
    </row>
    <row r="283">
      <c r="O283" s="41"/>
    </row>
    <row r="284">
      <c r="O284" s="41"/>
    </row>
    <row r="285">
      <c r="O285" s="41"/>
    </row>
    <row r="286">
      <c r="O286" s="41"/>
    </row>
    <row r="287">
      <c r="O287" s="41"/>
    </row>
    <row r="288">
      <c r="O288" s="41"/>
    </row>
    <row r="289">
      <c r="O289" s="41"/>
    </row>
    <row r="290">
      <c r="O290" s="41"/>
    </row>
    <row r="291">
      <c r="O291" s="41"/>
    </row>
    <row r="292">
      <c r="O292" s="41"/>
    </row>
    <row r="293">
      <c r="O293" s="41"/>
    </row>
    <row r="294">
      <c r="O294" s="41"/>
    </row>
    <row r="295">
      <c r="O295" s="41"/>
    </row>
    <row r="296">
      <c r="O296" s="41"/>
    </row>
    <row r="297">
      <c r="O297" s="41"/>
    </row>
    <row r="298">
      <c r="O298" s="41"/>
    </row>
    <row r="299">
      <c r="O299" s="41"/>
    </row>
    <row r="300">
      <c r="O300" s="41"/>
    </row>
    <row r="301">
      <c r="O301" s="41"/>
    </row>
    <row r="302">
      <c r="O302" s="41"/>
    </row>
    <row r="303">
      <c r="O303" s="41"/>
    </row>
    <row r="304">
      <c r="O304" s="41"/>
    </row>
    <row r="305">
      <c r="O305" s="41"/>
    </row>
    <row r="306">
      <c r="O306" s="41"/>
    </row>
    <row r="307">
      <c r="O307" s="41"/>
    </row>
    <row r="308">
      <c r="O308" s="41"/>
    </row>
    <row r="309">
      <c r="O309" s="41"/>
    </row>
    <row r="310">
      <c r="O310" s="41"/>
    </row>
    <row r="311">
      <c r="O311" s="41"/>
    </row>
    <row r="312">
      <c r="O312" s="41"/>
    </row>
    <row r="313">
      <c r="O313" s="41"/>
    </row>
    <row r="314">
      <c r="O314" s="41"/>
    </row>
    <row r="315">
      <c r="O315" s="41"/>
    </row>
    <row r="316">
      <c r="O316" s="41"/>
    </row>
    <row r="317">
      <c r="O317" s="41"/>
    </row>
    <row r="318">
      <c r="O318" s="41"/>
    </row>
    <row r="319">
      <c r="O319" s="41"/>
    </row>
    <row r="320">
      <c r="O320" s="41"/>
    </row>
    <row r="321">
      <c r="O321" s="41"/>
    </row>
    <row r="322">
      <c r="O322" s="41"/>
    </row>
    <row r="323">
      <c r="O323" s="41"/>
    </row>
    <row r="324">
      <c r="O324" s="41"/>
    </row>
    <row r="325">
      <c r="O325" s="41"/>
    </row>
    <row r="326">
      <c r="O326" s="41"/>
    </row>
    <row r="327">
      <c r="O327" s="41"/>
    </row>
    <row r="328">
      <c r="O328" s="41"/>
    </row>
    <row r="329">
      <c r="O329" s="41"/>
    </row>
    <row r="330">
      <c r="O330" s="41"/>
    </row>
    <row r="331">
      <c r="O331" s="41"/>
    </row>
    <row r="332">
      <c r="O332" s="41"/>
    </row>
    <row r="333">
      <c r="O333" s="41"/>
    </row>
    <row r="334">
      <c r="O334" s="41"/>
    </row>
    <row r="335">
      <c r="O335" s="41"/>
    </row>
    <row r="336">
      <c r="O336" s="41"/>
    </row>
    <row r="337">
      <c r="O337" s="41"/>
    </row>
    <row r="338">
      <c r="O338" s="41"/>
    </row>
    <row r="339">
      <c r="O339" s="41"/>
    </row>
    <row r="340">
      <c r="O340" s="41"/>
    </row>
    <row r="341">
      <c r="O341" s="41"/>
    </row>
    <row r="342">
      <c r="O342" s="41"/>
    </row>
    <row r="343">
      <c r="O343" s="41"/>
    </row>
    <row r="344">
      <c r="O344" s="41"/>
    </row>
    <row r="345">
      <c r="O345" s="41"/>
    </row>
    <row r="346">
      <c r="O346" s="41"/>
    </row>
    <row r="347">
      <c r="O347" s="41"/>
    </row>
    <row r="348">
      <c r="O348" s="41"/>
    </row>
    <row r="349">
      <c r="O349" s="41"/>
    </row>
    <row r="350">
      <c r="O350" s="41"/>
    </row>
    <row r="351">
      <c r="O351" s="41"/>
    </row>
    <row r="352">
      <c r="O352" s="41"/>
    </row>
    <row r="353">
      <c r="O353" s="41"/>
    </row>
    <row r="354">
      <c r="O354" s="41"/>
    </row>
    <row r="355">
      <c r="O355" s="41"/>
    </row>
    <row r="356">
      <c r="O356" s="41"/>
    </row>
    <row r="357">
      <c r="O357" s="41"/>
    </row>
    <row r="358">
      <c r="O358" s="41"/>
    </row>
    <row r="359">
      <c r="O359" s="41"/>
    </row>
    <row r="360">
      <c r="O360" s="41"/>
    </row>
    <row r="361">
      <c r="O361" s="41"/>
    </row>
    <row r="362">
      <c r="O362" s="41"/>
    </row>
    <row r="363">
      <c r="O363" s="41"/>
    </row>
    <row r="364">
      <c r="O364" s="41"/>
    </row>
    <row r="365">
      <c r="O365" s="41"/>
    </row>
    <row r="366">
      <c r="O366" s="41"/>
    </row>
    <row r="367">
      <c r="O367" s="41"/>
    </row>
    <row r="368">
      <c r="O368" s="41"/>
    </row>
    <row r="369">
      <c r="O369" s="41"/>
    </row>
    <row r="370">
      <c r="O370" s="41"/>
    </row>
    <row r="371">
      <c r="O371" s="41"/>
    </row>
    <row r="372">
      <c r="O372" s="41"/>
    </row>
    <row r="373">
      <c r="O373" s="41"/>
    </row>
    <row r="374">
      <c r="O374" s="41"/>
    </row>
    <row r="375">
      <c r="O375" s="41"/>
    </row>
    <row r="376">
      <c r="O376" s="41"/>
    </row>
    <row r="377">
      <c r="O377" s="41"/>
    </row>
    <row r="378">
      <c r="O378" s="41"/>
    </row>
    <row r="379">
      <c r="O379" s="41"/>
    </row>
    <row r="380">
      <c r="O380" s="41"/>
    </row>
    <row r="381">
      <c r="O381" s="41"/>
    </row>
    <row r="382">
      <c r="O382" s="41"/>
    </row>
    <row r="383">
      <c r="O383" s="41"/>
    </row>
    <row r="384">
      <c r="O384" s="41"/>
    </row>
    <row r="385">
      <c r="O385" s="41"/>
    </row>
    <row r="386">
      <c r="O386" s="41"/>
    </row>
    <row r="387">
      <c r="O387" s="41"/>
    </row>
    <row r="388">
      <c r="O388" s="41"/>
    </row>
    <row r="389">
      <c r="O389" s="41"/>
    </row>
    <row r="390">
      <c r="O390" s="41"/>
    </row>
    <row r="391">
      <c r="O391" s="41"/>
    </row>
    <row r="392">
      <c r="O392" s="41"/>
    </row>
    <row r="393">
      <c r="O393" s="41"/>
    </row>
    <row r="394">
      <c r="O394" s="41"/>
    </row>
    <row r="395">
      <c r="O395" s="41"/>
    </row>
    <row r="396">
      <c r="O396" s="41"/>
    </row>
    <row r="397">
      <c r="O397" s="41"/>
    </row>
    <row r="398">
      <c r="O398" s="41"/>
    </row>
    <row r="399">
      <c r="O399" s="41"/>
    </row>
    <row r="400">
      <c r="O400" s="41"/>
    </row>
    <row r="401">
      <c r="O401" s="41"/>
    </row>
    <row r="402">
      <c r="O402" s="41"/>
    </row>
    <row r="403">
      <c r="O403" s="41"/>
    </row>
    <row r="404">
      <c r="O404" s="41"/>
    </row>
    <row r="405">
      <c r="O405" s="41"/>
    </row>
    <row r="406">
      <c r="O406" s="41"/>
    </row>
    <row r="407">
      <c r="O407" s="41"/>
    </row>
    <row r="408">
      <c r="O408" s="41"/>
    </row>
    <row r="409">
      <c r="O409" s="41"/>
    </row>
    <row r="410">
      <c r="O410" s="41"/>
    </row>
    <row r="411">
      <c r="O411" s="41"/>
    </row>
    <row r="412">
      <c r="O412" s="41"/>
    </row>
    <row r="413">
      <c r="O413" s="41"/>
    </row>
    <row r="414">
      <c r="O414" s="41"/>
    </row>
    <row r="415">
      <c r="O415" s="41"/>
    </row>
    <row r="416">
      <c r="O416" s="41"/>
    </row>
    <row r="417">
      <c r="O417" s="41"/>
    </row>
    <row r="418">
      <c r="O418" s="41"/>
    </row>
    <row r="419">
      <c r="O419" s="41"/>
    </row>
    <row r="420">
      <c r="O420" s="41"/>
    </row>
    <row r="421">
      <c r="O421" s="41"/>
    </row>
    <row r="422">
      <c r="O422" s="41"/>
    </row>
    <row r="423">
      <c r="O423" s="41"/>
    </row>
    <row r="424">
      <c r="O424" s="41"/>
    </row>
    <row r="425">
      <c r="O425" s="41"/>
    </row>
    <row r="426">
      <c r="O426" s="41"/>
    </row>
    <row r="427">
      <c r="O427" s="41"/>
    </row>
    <row r="428">
      <c r="O428" s="41"/>
    </row>
    <row r="429">
      <c r="O429" s="41"/>
    </row>
    <row r="430">
      <c r="O430" s="41"/>
    </row>
    <row r="431">
      <c r="O431" s="41"/>
    </row>
    <row r="432">
      <c r="O432" s="41"/>
    </row>
    <row r="433">
      <c r="O433" s="41"/>
    </row>
    <row r="434">
      <c r="O434" s="41"/>
    </row>
    <row r="435">
      <c r="O435" s="41"/>
    </row>
    <row r="436">
      <c r="O436" s="41"/>
    </row>
    <row r="437">
      <c r="O437" s="41"/>
    </row>
    <row r="438">
      <c r="O438" s="41"/>
    </row>
    <row r="439">
      <c r="O439" s="41"/>
    </row>
    <row r="440">
      <c r="O440" s="41"/>
    </row>
    <row r="441">
      <c r="O441" s="41"/>
    </row>
    <row r="442">
      <c r="O442" s="41"/>
    </row>
    <row r="443">
      <c r="O443" s="41"/>
    </row>
    <row r="444">
      <c r="O444" s="41"/>
    </row>
    <row r="445">
      <c r="O445" s="41"/>
    </row>
    <row r="446">
      <c r="O446" s="41"/>
    </row>
    <row r="447">
      <c r="O447" s="41"/>
    </row>
    <row r="448">
      <c r="O448" s="41"/>
    </row>
    <row r="449">
      <c r="O449" s="41"/>
    </row>
    <row r="450">
      <c r="O450" s="41"/>
    </row>
    <row r="451">
      <c r="O451" s="41"/>
    </row>
    <row r="452">
      <c r="O452" s="41"/>
    </row>
    <row r="453">
      <c r="O453" s="41"/>
    </row>
    <row r="454">
      <c r="O454" s="41"/>
    </row>
    <row r="455">
      <c r="O455" s="41"/>
    </row>
    <row r="456">
      <c r="O456" s="41"/>
    </row>
    <row r="457">
      <c r="O457" s="41"/>
    </row>
    <row r="458">
      <c r="O458" s="41"/>
    </row>
    <row r="459">
      <c r="O459" s="41"/>
    </row>
    <row r="460">
      <c r="O460" s="41"/>
    </row>
    <row r="461">
      <c r="O461" s="41"/>
    </row>
    <row r="462">
      <c r="O462" s="41"/>
    </row>
    <row r="463">
      <c r="O463" s="41"/>
    </row>
    <row r="464">
      <c r="O464" s="41"/>
    </row>
    <row r="465">
      <c r="O465" s="41"/>
    </row>
    <row r="466">
      <c r="O466" s="41"/>
    </row>
    <row r="467">
      <c r="O467" s="41"/>
    </row>
    <row r="468">
      <c r="O468" s="41"/>
    </row>
    <row r="469">
      <c r="O469" s="41"/>
    </row>
    <row r="470">
      <c r="O470" s="41"/>
    </row>
    <row r="471">
      <c r="O471" s="41"/>
    </row>
    <row r="472">
      <c r="O472" s="41"/>
    </row>
    <row r="473">
      <c r="O473" s="41"/>
    </row>
    <row r="474">
      <c r="O474" s="41"/>
    </row>
    <row r="475">
      <c r="O475" s="41"/>
    </row>
    <row r="476">
      <c r="O476" s="41"/>
    </row>
    <row r="477">
      <c r="O477" s="41"/>
    </row>
    <row r="478">
      <c r="O478" s="41"/>
    </row>
    <row r="479">
      <c r="O479" s="41"/>
    </row>
    <row r="480">
      <c r="O480" s="41"/>
    </row>
    <row r="481">
      <c r="O481" s="41"/>
    </row>
    <row r="482">
      <c r="O482" s="41"/>
    </row>
    <row r="483">
      <c r="O483" s="41"/>
    </row>
    <row r="484">
      <c r="O484" s="41"/>
    </row>
    <row r="485">
      <c r="O485" s="41"/>
    </row>
    <row r="486">
      <c r="O486" s="41"/>
    </row>
    <row r="487">
      <c r="O487" s="41"/>
    </row>
    <row r="488">
      <c r="O488" s="41"/>
    </row>
    <row r="489">
      <c r="O489" s="41"/>
    </row>
    <row r="490">
      <c r="O490" s="41"/>
    </row>
    <row r="491">
      <c r="O491" s="41"/>
    </row>
    <row r="492">
      <c r="O492" s="41"/>
    </row>
    <row r="493">
      <c r="O493" s="41"/>
    </row>
    <row r="494">
      <c r="O494" s="41"/>
    </row>
    <row r="495">
      <c r="O495" s="41"/>
    </row>
    <row r="496">
      <c r="O496" s="41"/>
    </row>
    <row r="497">
      <c r="O497" s="41"/>
    </row>
    <row r="498">
      <c r="O498" s="41"/>
    </row>
    <row r="499">
      <c r="O499" s="41"/>
    </row>
    <row r="500">
      <c r="O500" s="41"/>
    </row>
    <row r="501">
      <c r="O501" s="41"/>
    </row>
    <row r="502">
      <c r="O502" s="41"/>
    </row>
    <row r="503">
      <c r="O503" s="41"/>
    </row>
    <row r="504">
      <c r="O504" s="41"/>
    </row>
    <row r="505">
      <c r="O505" s="41"/>
    </row>
    <row r="506">
      <c r="O506" s="41"/>
    </row>
    <row r="507">
      <c r="O507" s="41"/>
    </row>
    <row r="508">
      <c r="O508" s="41"/>
    </row>
    <row r="509">
      <c r="O509" s="41"/>
    </row>
    <row r="510">
      <c r="O510" s="41"/>
    </row>
    <row r="511">
      <c r="O511" s="41"/>
    </row>
    <row r="512">
      <c r="O512" s="41"/>
    </row>
    <row r="513">
      <c r="O513" s="41"/>
    </row>
    <row r="514">
      <c r="O514" s="41"/>
    </row>
    <row r="515">
      <c r="O515" s="41"/>
    </row>
    <row r="516">
      <c r="O516" s="41"/>
    </row>
    <row r="517">
      <c r="O517" s="41"/>
    </row>
    <row r="518">
      <c r="O518" s="41"/>
    </row>
    <row r="519">
      <c r="O519" s="41"/>
    </row>
    <row r="520">
      <c r="O520" s="41"/>
    </row>
    <row r="521">
      <c r="O521" s="41"/>
    </row>
    <row r="522">
      <c r="O522" s="41"/>
    </row>
    <row r="523">
      <c r="O523" s="41"/>
    </row>
    <row r="524">
      <c r="O524" s="41"/>
    </row>
    <row r="525">
      <c r="O525" s="41"/>
    </row>
    <row r="526">
      <c r="O526" s="41"/>
    </row>
    <row r="527">
      <c r="O527" s="41"/>
    </row>
    <row r="528">
      <c r="O528" s="41"/>
    </row>
    <row r="529">
      <c r="O529" s="41"/>
    </row>
    <row r="530">
      <c r="O530" s="41"/>
    </row>
    <row r="531">
      <c r="O531" s="41"/>
    </row>
    <row r="532">
      <c r="O532" s="41"/>
    </row>
    <row r="533">
      <c r="O533" s="41"/>
    </row>
    <row r="534">
      <c r="O534" s="41"/>
    </row>
    <row r="535">
      <c r="O535" s="41"/>
    </row>
    <row r="536">
      <c r="O536" s="41"/>
    </row>
    <row r="537">
      <c r="O537" s="41"/>
    </row>
    <row r="538">
      <c r="O538" s="41"/>
    </row>
    <row r="539">
      <c r="O539" s="41"/>
    </row>
    <row r="540">
      <c r="O540" s="41"/>
    </row>
    <row r="541">
      <c r="O541" s="41"/>
    </row>
    <row r="542">
      <c r="O542" s="41"/>
    </row>
    <row r="543">
      <c r="O543" s="41"/>
    </row>
    <row r="544">
      <c r="O544" s="41"/>
    </row>
    <row r="545">
      <c r="O545" s="41"/>
    </row>
    <row r="546">
      <c r="O546" s="41"/>
    </row>
    <row r="547">
      <c r="O547" s="41"/>
    </row>
    <row r="548">
      <c r="O548" s="41"/>
    </row>
    <row r="549">
      <c r="O549" s="41"/>
    </row>
    <row r="550">
      <c r="O550" s="41"/>
    </row>
    <row r="551">
      <c r="O551" s="41"/>
    </row>
    <row r="552">
      <c r="O552" s="41"/>
    </row>
    <row r="553">
      <c r="O553" s="41"/>
    </row>
    <row r="554">
      <c r="O554" s="41"/>
    </row>
    <row r="555">
      <c r="O555" s="41"/>
    </row>
    <row r="556">
      <c r="O556" s="41"/>
    </row>
    <row r="557">
      <c r="O557" s="41"/>
    </row>
    <row r="558">
      <c r="O558" s="41"/>
    </row>
    <row r="559">
      <c r="O559" s="41"/>
    </row>
    <row r="560">
      <c r="O560" s="41"/>
    </row>
    <row r="561">
      <c r="O561" s="41"/>
    </row>
    <row r="562">
      <c r="O562" s="41"/>
    </row>
    <row r="563">
      <c r="O563" s="41"/>
    </row>
    <row r="564">
      <c r="O564" s="41"/>
    </row>
    <row r="565">
      <c r="O565" s="41"/>
    </row>
    <row r="566">
      <c r="O566" s="41"/>
    </row>
    <row r="567">
      <c r="O567" s="41"/>
    </row>
    <row r="568">
      <c r="O568" s="41"/>
    </row>
    <row r="569">
      <c r="O569" s="41"/>
    </row>
    <row r="570">
      <c r="O570" s="41"/>
    </row>
    <row r="571">
      <c r="O571" s="41"/>
    </row>
    <row r="572">
      <c r="O572" s="41"/>
    </row>
    <row r="573">
      <c r="O573" s="41"/>
    </row>
    <row r="574">
      <c r="O574" s="41"/>
    </row>
    <row r="575">
      <c r="O575" s="41"/>
    </row>
    <row r="576">
      <c r="O576" s="41"/>
    </row>
    <row r="577">
      <c r="O577" s="41"/>
    </row>
    <row r="578">
      <c r="O578" s="41"/>
    </row>
    <row r="579">
      <c r="O579" s="41"/>
    </row>
    <row r="580">
      <c r="O580" s="41"/>
    </row>
    <row r="581">
      <c r="O581" s="41"/>
    </row>
    <row r="582">
      <c r="O582" s="41"/>
    </row>
    <row r="583">
      <c r="O583" s="41"/>
    </row>
    <row r="584">
      <c r="O584" s="41"/>
    </row>
    <row r="585">
      <c r="O585" s="41"/>
    </row>
    <row r="586">
      <c r="O586" s="41"/>
    </row>
    <row r="587">
      <c r="O587" s="41"/>
    </row>
    <row r="588">
      <c r="O588" s="41"/>
    </row>
    <row r="589">
      <c r="O589" s="41"/>
    </row>
    <row r="590">
      <c r="O590" s="41"/>
    </row>
    <row r="591">
      <c r="O591" s="41"/>
    </row>
    <row r="592">
      <c r="O592" s="41"/>
    </row>
    <row r="593">
      <c r="O593" s="41"/>
    </row>
    <row r="594">
      <c r="O594" s="41"/>
    </row>
    <row r="595">
      <c r="O595" s="41"/>
    </row>
    <row r="596">
      <c r="O596" s="41"/>
    </row>
    <row r="597">
      <c r="O597" s="41"/>
    </row>
    <row r="598">
      <c r="O598" s="41"/>
    </row>
    <row r="599">
      <c r="O599" s="41"/>
    </row>
    <row r="600">
      <c r="O600" s="41"/>
    </row>
    <row r="601">
      <c r="O601" s="41"/>
    </row>
    <row r="602">
      <c r="O602" s="41"/>
    </row>
    <row r="603">
      <c r="O603" s="41"/>
    </row>
    <row r="604">
      <c r="O604" s="41"/>
    </row>
    <row r="605">
      <c r="O605" s="41"/>
    </row>
    <row r="606">
      <c r="O606" s="41"/>
    </row>
    <row r="607">
      <c r="O607" s="41"/>
    </row>
    <row r="608">
      <c r="O608" s="41"/>
    </row>
    <row r="609">
      <c r="O609" s="41"/>
    </row>
    <row r="610">
      <c r="O610" s="41"/>
    </row>
    <row r="611">
      <c r="O611" s="41"/>
    </row>
    <row r="612">
      <c r="O612" s="41"/>
    </row>
    <row r="613">
      <c r="O613" s="41"/>
    </row>
    <row r="614">
      <c r="O614" s="41"/>
    </row>
    <row r="615">
      <c r="O615" s="41"/>
    </row>
    <row r="616">
      <c r="O616" s="41"/>
    </row>
    <row r="617">
      <c r="O617" s="41"/>
    </row>
    <row r="618">
      <c r="O618" s="41"/>
    </row>
    <row r="619">
      <c r="O619" s="41"/>
    </row>
    <row r="620">
      <c r="O620" s="41"/>
    </row>
    <row r="621">
      <c r="O621" s="41"/>
    </row>
    <row r="622">
      <c r="O622" s="41"/>
    </row>
    <row r="623">
      <c r="O623" s="41"/>
    </row>
    <row r="624">
      <c r="O624" s="41"/>
    </row>
    <row r="625">
      <c r="O625" s="41"/>
    </row>
    <row r="626">
      <c r="O626" s="41"/>
    </row>
    <row r="627">
      <c r="O627" s="41"/>
    </row>
    <row r="628">
      <c r="O628" s="41"/>
    </row>
    <row r="629">
      <c r="O629" s="41"/>
    </row>
    <row r="630">
      <c r="O630" s="41"/>
    </row>
    <row r="631">
      <c r="O631" s="41"/>
    </row>
    <row r="632">
      <c r="O632" s="41"/>
    </row>
    <row r="633">
      <c r="O633" s="41"/>
    </row>
    <row r="634">
      <c r="O634" s="41"/>
    </row>
    <row r="635">
      <c r="O635" s="41"/>
    </row>
    <row r="636">
      <c r="O636" s="41"/>
    </row>
    <row r="637">
      <c r="O637" s="41"/>
    </row>
    <row r="638">
      <c r="O638" s="41"/>
    </row>
    <row r="639">
      <c r="O639" s="41"/>
    </row>
    <row r="640">
      <c r="O640" s="41"/>
    </row>
    <row r="641">
      <c r="O641" s="41"/>
    </row>
    <row r="642">
      <c r="O642" s="41"/>
    </row>
    <row r="643">
      <c r="O643" s="41"/>
    </row>
    <row r="644">
      <c r="O644" s="41"/>
    </row>
    <row r="645">
      <c r="O645" s="41"/>
    </row>
    <row r="646">
      <c r="O646" s="41"/>
    </row>
    <row r="647">
      <c r="O647" s="41"/>
    </row>
    <row r="648">
      <c r="O648" s="41"/>
    </row>
    <row r="649">
      <c r="O649" s="41"/>
    </row>
    <row r="650">
      <c r="O650" s="41"/>
    </row>
    <row r="651">
      <c r="O651" s="41"/>
    </row>
    <row r="652">
      <c r="O652" s="41"/>
    </row>
    <row r="653">
      <c r="O653" s="41"/>
    </row>
    <row r="654">
      <c r="O654" s="41"/>
    </row>
    <row r="655">
      <c r="O655" s="41"/>
    </row>
    <row r="656">
      <c r="O656" s="41"/>
    </row>
    <row r="657">
      <c r="O657" s="41"/>
    </row>
    <row r="658">
      <c r="O658" s="41"/>
    </row>
    <row r="659">
      <c r="O659" s="41"/>
    </row>
    <row r="660">
      <c r="O660" s="41"/>
    </row>
    <row r="661">
      <c r="O661" s="41"/>
    </row>
    <row r="662">
      <c r="O662" s="41"/>
    </row>
    <row r="663">
      <c r="O663" s="41"/>
    </row>
    <row r="664">
      <c r="O664" s="41"/>
    </row>
    <row r="665">
      <c r="O665" s="41"/>
    </row>
    <row r="666">
      <c r="O666" s="41"/>
    </row>
    <row r="667">
      <c r="O667" s="41"/>
    </row>
    <row r="668">
      <c r="O668" s="41"/>
    </row>
    <row r="669">
      <c r="O669" s="41"/>
    </row>
    <row r="670">
      <c r="O670" s="41"/>
    </row>
    <row r="671">
      <c r="O671" s="41"/>
    </row>
    <row r="672">
      <c r="O672" s="41"/>
    </row>
    <row r="673">
      <c r="O673" s="41"/>
    </row>
    <row r="674">
      <c r="O674" s="41"/>
    </row>
    <row r="675">
      <c r="O675" s="41"/>
    </row>
    <row r="676">
      <c r="O676" s="41"/>
    </row>
    <row r="677">
      <c r="O677" s="41"/>
    </row>
    <row r="678">
      <c r="O678" s="41"/>
    </row>
    <row r="679">
      <c r="O679" s="41"/>
    </row>
    <row r="680">
      <c r="O680" s="41"/>
    </row>
    <row r="681">
      <c r="O681" s="41"/>
    </row>
    <row r="682">
      <c r="O682" s="41"/>
    </row>
    <row r="683">
      <c r="O683" s="41"/>
    </row>
    <row r="684">
      <c r="O684" s="41"/>
    </row>
    <row r="685">
      <c r="O685" s="41"/>
    </row>
    <row r="686">
      <c r="O686" s="41"/>
    </row>
    <row r="687">
      <c r="O687" s="41"/>
    </row>
    <row r="688">
      <c r="O688" s="41"/>
    </row>
    <row r="689">
      <c r="O689" s="41"/>
    </row>
    <row r="690">
      <c r="O690" s="41"/>
    </row>
    <row r="691">
      <c r="O691" s="41"/>
    </row>
    <row r="692">
      <c r="O692" s="41"/>
    </row>
    <row r="693">
      <c r="O693" s="41"/>
    </row>
    <row r="694">
      <c r="O694" s="41"/>
    </row>
    <row r="695">
      <c r="O695" s="41"/>
    </row>
    <row r="696">
      <c r="O696" s="41"/>
    </row>
    <row r="697">
      <c r="O697" s="41"/>
    </row>
    <row r="698">
      <c r="O698" s="41"/>
    </row>
    <row r="699">
      <c r="O699" s="41"/>
    </row>
    <row r="700">
      <c r="O700" s="41"/>
    </row>
    <row r="701">
      <c r="O701" s="41"/>
    </row>
    <row r="702">
      <c r="O702" s="41"/>
    </row>
    <row r="703">
      <c r="O703" s="41"/>
    </row>
    <row r="704">
      <c r="O704" s="41"/>
    </row>
    <row r="705">
      <c r="O705" s="41"/>
    </row>
    <row r="706">
      <c r="O706" s="41"/>
    </row>
    <row r="707">
      <c r="O707" s="41"/>
    </row>
    <row r="708">
      <c r="O708" s="41"/>
    </row>
    <row r="709">
      <c r="O709" s="41"/>
    </row>
    <row r="710">
      <c r="O710" s="41"/>
    </row>
    <row r="711">
      <c r="O711" s="41"/>
    </row>
    <row r="712">
      <c r="O712" s="41"/>
    </row>
    <row r="713">
      <c r="O713" s="41"/>
    </row>
    <row r="714">
      <c r="O714" s="41"/>
    </row>
    <row r="715">
      <c r="O715" s="41"/>
    </row>
    <row r="716">
      <c r="O716" s="41"/>
    </row>
    <row r="717">
      <c r="O717" s="41"/>
    </row>
    <row r="718">
      <c r="O718" s="41"/>
    </row>
    <row r="719">
      <c r="O719" s="41"/>
    </row>
    <row r="720">
      <c r="O720" s="41"/>
    </row>
    <row r="721">
      <c r="O721" s="41"/>
    </row>
    <row r="722">
      <c r="O722" s="41"/>
    </row>
    <row r="723">
      <c r="O723" s="41"/>
    </row>
    <row r="724">
      <c r="O724" s="41"/>
    </row>
    <row r="725">
      <c r="O725" s="41"/>
    </row>
    <row r="726">
      <c r="O726" s="41"/>
    </row>
    <row r="727">
      <c r="O727" s="41"/>
    </row>
    <row r="728">
      <c r="O728" s="41"/>
    </row>
    <row r="729">
      <c r="O729" s="41"/>
    </row>
    <row r="730">
      <c r="O730" s="41"/>
    </row>
    <row r="731">
      <c r="O731" s="41"/>
    </row>
    <row r="732">
      <c r="O732" s="41"/>
    </row>
    <row r="733">
      <c r="O733" s="41"/>
    </row>
    <row r="734">
      <c r="O734" s="41"/>
    </row>
    <row r="735">
      <c r="O735" s="41"/>
    </row>
    <row r="736">
      <c r="O736" s="41"/>
    </row>
    <row r="737">
      <c r="O737" s="41"/>
    </row>
    <row r="738">
      <c r="O738" s="41"/>
    </row>
    <row r="739">
      <c r="O739" s="41"/>
    </row>
    <row r="740">
      <c r="O740" s="41"/>
    </row>
    <row r="741">
      <c r="O741" s="41"/>
    </row>
    <row r="742">
      <c r="O742" s="41"/>
    </row>
    <row r="743">
      <c r="O743" s="41"/>
    </row>
    <row r="744">
      <c r="O744" s="41"/>
    </row>
    <row r="745">
      <c r="O745" s="41"/>
    </row>
    <row r="746">
      <c r="O746" s="41"/>
    </row>
    <row r="747">
      <c r="O747" s="41"/>
    </row>
    <row r="748">
      <c r="O748" s="41"/>
    </row>
    <row r="749">
      <c r="O749" s="41"/>
    </row>
    <row r="750">
      <c r="O750" s="41"/>
    </row>
    <row r="751">
      <c r="O751" s="41"/>
    </row>
    <row r="752">
      <c r="O752" s="41"/>
    </row>
    <row r="753">
      <c r="O753" s="41"/>
    </row>
    <row r="754">
      <c r="O754" s="41"/>
    </row>
    <row r="755">
      <c r="O755" s="41"/>
    </row>
    <row r="756">
      <c r="O756" s="41"/>
    </row>
    <row r="757">
      <c r="O757" s="41"/>
    </row>
    <row r="758">
      <c r="O758" s="41"/>
    </row>
    <row r="759">
      <c r="O759" s="41"/>
    </row>
    <row r="760">
      <c r="O760" s="41"/>
    </row>
    <row r="761">
      <c r="O761" s="41"/>
    </row>
    <row r="762">
      <c r="O762" s="41"/>
    </row>
    <row r="763">
      <c r="O763" s="41"/>
    </row>
    <row r="764">
      <c r="O764" s="41"/>
    </row>
    <row r="765">
      <c r="O765" s="41"/>
    </row>
    <row r="766">
      <c r="O766" s="41"/>
    </row>
    <row r="767">
      <c r="O767" s="41"/>
    </row>
    <row r="768">
      <c r="O768" s="41"/>
    </row>
    <row r="769">
      <c r="O769" s="41"/>
    </row>
    <row r="770">
      <c r="O770" s="41"/>
    </row>
    <row r="771">
      <c r="O771" s="41"/>
    </row>
    <row r="772">
      <c r="O772" s="41"/>
    </row>
    <row r="773">
      <c r="O773" s="41"/>
    </row>
    <row r="774">
      <c r="O774" s="41"/>
    </row>
    <row r="775">
      <c r="O775" s="41"/>
    </row>
    <row r="776">
      <c r="O776" s="41"/>
    </row>
    <row r="777">
      <c r="O777" s="41"/>
    </row>
    <row r="778">
      <c r="O778" s="41"/>
    </row>
    <row r="779">
      <c r="O779" s="41"/>
    </row>
    <row r="780">
      <c r="O780" s="41"/>
    </row>
    <row r="781">
      <c r="O781" s="41"/>
    </row>
    <row r="782">
      <c r="O782" s="41"/>
    </row>
    <row r="783">
      <c r="O783" s="41"/>
    </row>
    <row r="784">
      <c r="O784" s="41"/>
    </row>
    <row r="785">
      <c r="O785" s="41"/>
    </row>
    <row r="786">
      <c r="O786" s="41"/>
    </row>
    <row r="787">
      <c r="O787" s="41"/>
    </row>
    <row r="788">
      <c r="O788" s="41"/>
    </row>
    <row r="789">
      <c r="O789" s="41"/>
    </row>
    <row r="790">
      <c r="O790" s="41"/>
    </row>
    <row r="791">
      <c r="O791" s="41"/>
    </row>
    <row r="792">
      <c r="O792" s="41"/>
    </row>
    <row r="793">
      <c r="O793" s="41"/>
    </row>
    <row r="794">
      <c r="O794" s="41"/>
    </row>
    <row r="795">
      <c r="O795" s="41"/>
    </row>
    <row r="796">
      <c r="O796" s="41"/>
    </row>
    <row r="797">
      <c r="O797" s="41"/>
    </row>
    <row r="798">
      <c r="O798" s="41"/>
    </row>
    <row r="799">
      <c r="O799" s="41"/>
    </row>
    <row r="800">
      <c r="O800" s="41"/>
    </row>
    <row r="801">
      <c r="O801" s="41"/>
    </row>
    <row r="802">
      <c r="O802" s="41"/>
    </row>
    <row r="803">
      <c r="O803" s="41"/>
    </row>
    <row r="804">
      <c r="O804" s="41"/>
    </row>
    <row r="805">
      <c r="O805" s="41"/>
    </row>
    <row r="806">
      <c r="O806" s="41"/>
    </row>
    <row r="807">
      <c r="O807" s="41"/>
    </row>
    <row r="808">
      <c r="O808" s="41"/>
    </row>
    <row r="809">
      <c r="O809" s="41"/>
    </row>
    <row r="810">
      <c r="O810" s="41"/>
    </row>
    <row r="811">
      <c r="O811" s="41"/>
    </row>
    <row r="812">
      <c r="O812" s="41"/>
    </row>
    <row r="813">
      <c r="O813" s="41"/>
    </row>
    <row r="814">
      <c r="O814" s="41"/>
    </row>
    <row r="815">
      <c r="O815" s="41"/>
    </row>
    <row r="816">
      <c r="O816" s="41"/>
    </row>
    <row r="817">
      <c r="O817" s="41"/>
    </row>
    <row r="818">
      <c r="O818" s="41"/>
    </row>
    <row r="819">
      <c r="O819" s="41"/>
    </row>
    <row r="820">
      <c r="O820" s="41"/>
    </row>
    <row r="821">
      <c r="O821" s="41"/>
    </row>
    <row r="822">
      <c r="O822" s="41"/>
    </row>
    <row r="823">
      <c r="O823" s="41"/>
    </row>
    <row r="824">
      <c r="O824" s="41"/>
    </row>
    <row r="825">
      <c r="O825" s="41"/>
    </row>
    <row r="826">
      <c r="O826" s="41"/>
    </row>
    <row r="827">
      <c r="O827" s="41"/>
    </row>
    <row r="828">
      <c r="O828" s="41"/>
    </row>
    <row r="829">
      <c r="O829" s="41"/>
    </row>
    <row r="830">
      <c r="O830" s="41"/>
    </row>
    <row r="831">
      <c r="O831" s="41"/>
    </row>
    <row r="832">
      <c r="O832" s="41"/>
    </row>
    <row r="833">
      <c r="O833" s="41"/>
    </row>
    <row r="834">
      <c r="O834" s="41"/>
    </row>
    <row r="835">
      <c r="O835" s="41"/>
    </row>
    <row r="836">
      <c r="O836" s="41"/>
    </row>
    <row r="837">
      <c r="O837" s="41"/>
    </row>
    <row r="838">
      <c r="O838" s="41"/>
    </row>
    <row r="839">
      <c r="O839" s="41"/>
    </row>
    <row r="840">
      <c r="O840" s="41"/>
    </row>
    <row r="841">
      <c r="O841" s="41"/>
    </row>
    <row r="842">
      <c r="O842" s="41"/>
    </row>
    <row r="843">
      <c r="O843" s="41"/>
    </row>
    <row r="844">
      <c r="O844" s="41"/>
    </row>
    <row r="845">
      <c r="O845" s="41"/>
    </row>
    <row r="846">
      <c r="O846" s="41"/>
    </row>
    <row r="847">
      <c r="O847" s="41"/>
    </row>
    <row r="848">
      <c r="O848" s="41"/>
    </row>
    <row r="849">
      <c r="O849" s="41"/>
    </row>
    <row r="850">
      <c r="O850" s="41"/>
    </row>
    <row r="851">
      <c r="O851" s="41"/>
    </row>
    <row r="852">
      <c r="O852" s="41"/>
    </row>
    <row r="853">
      <c r="O853" s="41"/>
    </row>
    <row r="854">
      <c r="O854" s="41"/>
    </row>
    <row r="855">
      <c r="O855" s="41"/>
    </row>
    <row r="856">
      <c r="O856" s="41"/>
    </row>
    <row r="857">
      <c r="O857" s="41"/>
    </row>
    <row r="858">
      <c r="O858" s="41"/>
    </row>
    <row r="859">
      <c r="O859" s="41"/>
    </row>
    <row r="860">
      <c r="O860" s="41"/>
    </row>
    <row r="861">
      <c r="O861" s="41"/>
    </row>
    <row r="862">
      <c r="O862" s="41"/>
    </row>
    <row r="863">
      <c r="O863" s="41"/>
    </row>
    <row r="864">
      <c r="O864" s="41"/>
    </row>
    <row r="865">
      <c r="O865" s="41"/>
    </row>
    <row r="866">
      <c r="O866" s="41"/>
    </row>
    <row r="867">
      <c r="O867" s="41"/>
    </row>
    <row r="868">
      <c r="O868" s="41"/>
    </row>
    <row r="869">
      <c r="O869" s="41"/>
    </row>
    <row r="870">
      <c r="O870" s="41"/>
    </row>
    <row r="871">
      <c r="O871" s="41"/>
    </row>
    <row r="872">
      <c r="O872" s="41"/>
    </row>
    <row r="873">
      <c r="O873" s="41"/>
    </row>
    <row r="874">
      <c r="O874" s="41"/>
    </row>
    <row r="875">
      <c r="O875" s="41"/>
    </row>
    <row r="876">
      <c r="O876" s="41"/>
    </row>
    <row r="877">
      <c r="O877" s="41"/>
    </row>
    <row r="878">
      <c r="O878" s="41"/>
    </row>
    <row r="879">
      <c r="O879" s="41"/>
    </row>
    <row r="880">
      <c r="O880" s="41"/>
    </row>
    <row r="881">
      <c r="O881" s="41"/>
    </row>
    <row r="882">
      <c r="O882" s="41"/>
    </row>
    <row r="883">
      <c r="O883" s="41"/>
    </row>
    <row r="884">
      <c r="O884" s="41"/>
    </row>
    <row r="885">
      <c r="O885" s="41"/>
    </row>
    <row r="886">
      <c r="O886" s="41"/>
    </row>
    <row r="887">
      <c r="O887" s="41"/>
    </row>
    <row r="888">
      <c r="O888" s="41"/>
    </row>
    <row r="889">
      <c r="O889" s="41"/>
    </row>
    <row r="890">
      <c r="O890" s="41"/>
    </row>
    <row r="891">
      <c r="O891" s="41"/>
    </row>
    <row r="892">
      <c r="O892" s="41"/>
    </row>
    <row r="893">
      <c r="O893" s="41"/>
    </row>
    <row r="894">
      <c r="O894" s="41"/>
    </row>
    <row r="895">
      <c r="O895" s="41"/>
    </row>
    <row r="896">
      <c r="O896" s="41"/>
    </row>
    <row r="897">
      <c r="O897" s="41"/>
    </row>
    <row r="898">
      <c r="O898" s="41"/>
    </row>
    <row r="899">
      <c r="O899" s="41"/>
    </row>
    <row r="900">
      <c r="O900" s="41"/>
    </row>
    <row r="901">
      <c r="O901" s="41"/>
    </row>
    <row r="902">
      <c r="O902" s="41"/>
    </row>
    <row r="903">
      <c r="O903" s="41"/>
    </row>
    <row r="904">
      <c r="O904" s="41"/>
    </row>
    <row r="905">
      <c r="O905" s="41"/>
    </row>
    <row r="906">
      <c r="O906" s="41"/>
    </row>
    <row r="907">
      <c r="O907" s="41"/>
    </row>
    <row r="908">
      <c r="O908" s="41"/>
    </row>
    <row r="909">
      <c r="O909" s="41"/>
    </row>
    <row r="910">
      <c r="O910" s="41"/>
    </row>
    <row r="911">
      <c r="O911" s="41"/>
    </row>
    <row r="912">
      <c r="O912" s="41"/>
    </row>
    <row r="913">
      <c r="O913" s="41"/>
    </row>
    <row r="914">
      <c r="O914" s="41"/>
    </row>
    <row r="915">
      <c r="O915" s="41"/>
    </row>
    <row r="916">
      <c r="O916" s="41"/>
    </row>
    <row r="917">
      <c r="O917" s="41"/>
    </row>
    <row r="918">
      <c r="O918" s="41"/>
    </row>
    <row r="919">
      <c r="O919" s="41"/>
    </row>
    <row r="920">
      <c r="O920" s="41"/>
    </row>
    <row r="921">
      <c r="O921" s="41"/>
    </row>
    <row r="922">
      <c r="O922" s="41"/>
    </row>
    <row r="923">
      <c r="O923" s="41"/>
    </row>
    <row r="924">
      <c r="O924" s="41"/>
    </row>
    <row r="925">
      <c r="O925" s="41"/>
    </row>
    <row r="926">
      <c r="O926" s="41"/>
    </row>
    <row r="927">
      <c r="O927" s="41"/>
    </row>
    <row r="928">
      <c r="O928" s="41"/>
    </row>
    <row r="929">
      <c r="O929" s="41"/>
    </row>
    <row r="930">
      <c r="O930" s="41"/>
    </row>
    <row r="931">
      <c r="O931" s="41"/>
    </row>
    <row r="932">
      <c r="O932" s="41"/>
    </row>
    <row r="933">
      <c r="O933" s="41"/>
    </row>
    <row r="934">
      <c r="O934" s="41"/>
    </row>
    <row r="935">
      <c r="O935" s="41"/>
    </row>
    <row r="936">
      <c r="O936" s="41"/>
    </row>
    <row r="937">
      <c r="O937" s="41"/>
    </row>
    <row r="938">
      <c r="O938" s="41"/>
    </row>
    <row r="939">
      <c r="O939" s="41"/>
    </row>
    <row r="940">
      <c r="O940" s="41"/>
    </row>
    <row r="941">
      <c r="O941" s="41"/>
    </row>
    <row r="942">
      <c r="O942" s="41"/>
    </row>
    <row r="943">
      <c r="O943" s="41"/>
    </row>
    <row r="944">
      <c r="O944" s="41"/>
    </row>
    <row r="945">
      <c r="O945" s="41"/>
    </row>
    <row r="946">
      <c r="O946" s="41"/>
    </row>
    <row r="947">
      <c r="O947" s="41"/>
    </row>
    <row r="948">
      <c r="O948" s="41"/>
    </row>
    <row r="949">
      <c r="O949" s="41"/>
    </row>
    <row r="950">
      <c r="O950" s="41"/>
    </row>
    <row r="951">
      <c r="O951" s="41"/>
    </row>
    <row r="952">
      <c r="O952" s="41"/>
    </row>
    <row r="953">
      <c r="O953" s="41"/>
    </row>
    <row r="954">
      <c r="O954" s="41"/>
    </row>
    <row r="955">
      <c r="O955" s="41"/>
    </row>
    <row r="956">
      <c r="O956" s="41"/>
    </row>
    <row r="957">
      <c r="O957" s="41"/>
    </row>
    <row r="958">
      <c r="O958" s="41"/>
    </row>
    <row r="959">
      <c r="O959" s="41"/>
    </row>
    <row r="960">
      <c r="O960" s="41"/>
    </row>
    <row r="961">
      <c r="O961" s="41"/>
    </row>
    <row r="962">
      <c r="O962" s="41"/>
    </row>
    <row r="963">
      <c r="O963" s="41"/>
    </row>
    <row r="964">
      <c r="O964" s="41"/>
    </row>
    <row r="965">
      <c r="O965" s="41"/>
    </row>
    <row r="966">
      <c r="O966" s="41"/>
    </row>
    <row r="967">
      <c r="O967" s="41"/>
    </row>
    <row r="968">
      <c r="O968" s="41"/>
    </row>
    <row r="969">
      <c r="O969" s="41"/>
    </row>
    <row r="970">
      <c r="O970" s="41"/>
    </row>
    <row r="971">
      <c r="O971" s="41"/>
    </row>
    <row r="972">
      <c r="O972" s="41"/>
    </row>
    <row r="973">
      <c r="O973" s="41"/>
    </row>
    <row r="974">
      <c r="O974" s="41"/>
    </row>
    <row r="975">
      <c r="O975" s="41"/>
    </row>
    <row r="976">
      <c r="O976" s="41"/>
    </row>
    <row r="977">
      <c r="O977" s="41"/>
    </row>
    <row r="978">
      <c r="O978" s="41"/>
    </row>
    <row r="979">
      <c r="O979" s="41"/>
    </row>
    <row r="980">
      <c r="O980" s="41"/>
    </row>
    <row r="981">
      <c r="O981" s="41"/>
    </row>
    <row r="982">
      <c r="O982" s="41"/>
    </row>
    <row r="983">
      <c r="O983" s="41"/>
    </row>
    <row r="984">
      <c r="O984" s="41"/>
    </row>
    <row r="985">
      <c r="O985" s="41"/>
    </row>
    <row r="986">
      <c r="O986" s="41"/>
    </row>
    <row r="987">
      <c r="O987" s="41"/>
    </row>
    <row r="988">
      <c r="O988" s="41"/>
    </row>
    <row r="989">
      <c r="O989" s="41"/>
    </row>
    <row r="990">
      <c r="O990" s="41"/>
    </row>
    <row r="991">
      <c r="O991" s="41"/>
    </row>
    <row r="992">
      <c r="O992" s="41"/>
    </row>
    <row r="993">
      <c r="O993" s="41"/>
    </row>
    <row r="994">
      <c r="O994" s="41"/>
    </row>
    <row r="995">
      <c r="O995" s="41"/>
    </row>
    <row r="996">
      <c r="O996" s="41"/>
    </row>
    <row r="997">
      <c r="O997" s="41"/>
    </row>
    <row r="998">
      <c r="O998" s="41"/>
    </row>
    <row r="999">
      <c r="O999" s="41"/>
    </row>
    <row r="1000">
      <c r="O1000" s="41"/>
    </row>
  </sheetData>
  <mergeCells count="11">
    <mergeCell ref="A18:A19"/>
    <mergeCell ref="A20:A21"/>
    <mergeCell ref="A22:A23"/>
    <mergeCell ref="A24:A25"/>
    <mergeCell ref="A1:O1"/>
    <mergeCell ref="A3:A4"/>
    <mergeCell ref="A5:A6"/>
    <mergeCell ref="A7:A8"/>
    <mergeCell ref="A9:A10"/>
    <mergeCell ref="A11:A12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5"/>
      <c r="R1" s="45"/>
      <c r="T1" s="45"/>
      <c r="V1" s="45"/>
    </row>
    <row r="2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7" t="s">
        <v>14</v>
      </c>
      <c r="O2" s="8" t="s">
        <v>15</v>
      </c>
      <c r="P2" s="45"/>
      <c r="R2" s="45"/>
      <c r="T2" s="45"/>
      <c r="V2" s="45"/>
    </row>
    <row r="3">
      <c r="A3" s="46" t="s">
        <v>16</v>
      </c>
      <c r="B3" s="47" t="s">
        <v>17</v>
      </c>
      <c r="C3" s="48">
        <v>530.0</v>
      </c>
      <c r="D3" s="49">
        <v>350.0</v>
      </c>
      <c r="E3" s="49">
        <v>540.0</v>
      </c>
      <c r="F3" s="49">
        <v>360.0</v>
      </c>
      <c r="G3" s="49">
        <v>280.0</v>
      </c>
      <c r="H3" s="49">
        <v>290.0</v>
      </c>
      <c r="I3" s="49">
        <v>290.0</v>
      </c>
      <c r="J3" s="49">
        <v>350.0</v>
      </c>
      <c r="K3" s="49">
        <v>660.0</v>
      </c>
      <c r="L3" s="50">
        <v>300.0</v>
      </c>
      <c r="M3" s="51">
        <f t="shared" ref="M3:M12" si="1">AVERAGE(C3:L3)</f>
        <v>395</v>
      </c>
      <c r="N3" s="52">
        <f t="shared" ref="N3:N12" si="2">MAX(C3:L3)</f>
        <v>660</v>
      </c>
      <c r="O3" s="53">
        <f t="shared" ref="O3:O12" si="3">_xlfn.PERCENTILE.INC(C3:L3, 0.9)</f>
        <v>552</v>
      </c>
      <c r="P3" s="45"/>
      <c r="R3" s="45"/>
      <c r="T3" s="45"/>
      <c r="V3" s="45"/>
    </row>
    <row r="4">
      <c r="A4" s="32"/>
      <c r="B4" s="54" t="s">
        <v>18</v>
      </c>
      <c r="C4" s="55">
        <v>552.043</v>
      </c>
      <c r="D4" s="56">
        <v>347.344</v>
      </c>
      <c r="E4" s="56">
        <v>531.363</v>
      </c>
      <c r="F4" s="56">
        <v>369.633</v>
      </c>
      <c r="G4" s="56">
        <v>295.791</v>
      </c>
      <c r="H4" s="56">
        <v>277.022</v>
      </c>
      <c r="I4" s="56">
        <v>283.868</v>
      </c>
      <c r="J4" s="56">
        <v>707.167</v>
      </c>
      <c r="K4" s="56">
        <v>1010.99</v>
      </c>
      <c r="L4" s="57">
        <v>607.186</v>
      </c>
      <c r="M4" s="58">
        <f t="shared" si="1"/>
        <v>498.2407</v>
      </c>
      <c r="N4" s="59">
        <f t="shared" si="2"/>
        <v>1010.99</v>
      </c>
      <c r="O4" s="60">
        <f t="shared" si="3"/>
        <v>737.5493</v>
      </c>
      <c r="P4" s="45"/>
      <c r="R4" s="45"/>
      <c r="T4" s="45"/>
      <c r="V4" s="45"/>
    </row>
    <row r="5">
      <c r="A5" s="61" t="s">
        <v>19</v>
      </c>
      <c r="B5" s="5" t="s">
        <v>17</v>
      </c>
      <c r="C5" s="26">
        <v>850.0</v>
      </c>
      <c r="D5" s="27">
        <v>790.0</v>
      </c>
      <c r="E5" s="27">
        <v>540.0</v>
      </c>
      <c r="F5" s="27">
        <v>490.0</v>
      </c>
      <c r="G5" s="27">
        <v>560.0</v>
      </c>
      <c r="H5" s="27">
        <v>510.0</v>
      </c>
      <c r="I5" s="27">
        <v>530.0</v>
      </c>
      <c r="J5" s="27">
        <v>560.0</v>
      </c>
      <c r="K5" s="27">
        <v>470.0</v>
      </c>
      <c r="L5" s="28">
        <v>490.0</v>
      </c>
      <c r="M5" s="29">
        <f t="shared" si="1"/>
        <v>579</v>
      </c>
      <c r="N5" s="30">
        <f t="shared" si="2"/>
        <v>850</v>
      </c>
      <c r="O5" s="31">
        <f t="shared" si="3"/>
        <v>796</v>
      </c>
      <c r="P5" s="45"/>
      <c r="R5" s="45"/>
      <c r="T5" s="45"/>
      <c r="V5" s="45"/>
    </row>
    <row r="6">
      <c r="A6" s="17"/>
      <c r="B6" s="62" t="s">
        <v>18</v>
      </c>
      <c r="C6" s="26">
        <v>1487.8</v>
      </c>
      <c r="D6" s="27">
        <v>1615.1</v>
      </c>
      <c r="E6" s="27">
        <v>1025.23</v>
      </c>
      <c r="F6" s="27">
        <v>492.981</v>
      </c>
      <c r="G6" s="27">
        <v>560.516</v>
      </c>
      <c r="H6" s="27">
        <v>729.551</v>
      </c>
      <c r="I6" s="27">
        <v>766.37</v>
      </c>
      <c r="J6" s="27">
        <v>632.833</v>
      </c>
      <c r="K6" s="27">
        <v>759.704</v>
      </c>
      <c r="L6" s="28">
        <v>936.146</v>
      </c>
      <c r="M6" s="63">
        <f t="shared" si="1"/>
        <v>900.6231</v>
      </c>
      <c r="N6" s="30">
        <f t="shared" si="2"/>
        <v>1615.1</v>
      </c>
      <c r="O6" s="31">
        <f t="shared" si="3"/>
        <v>1500.53</v>
      </c>
      <c r="P6" s="45"/>
      <c r="R6" s="45"/>
      <c r="T6" s="45"/>
      <c r="V6" s="45"/>
    </row>
    <row r="7">
      <c r="A7" s="64" t="s">
        <v>20</v>
      </c>
      <c r="B7" s="47" t="s">
        <v>17</v>
      </c>
      <c r="C7" s="55">
        <v>1450.0</v>
      </c>
      <c r="D7" s="56">
        <v>1100.0</v>
      </c>
      <c r="E7" s="56">
        <v>2500.0</v>
      </c>
      <c r="F7" s="56">
        <v>1560.0</v>
      </c>
      <c r="G7" s="56">
        <v>1000.0</v>
      </c>
      <c r="H7" s="56">
        <v>840.0</v>
      </c>
      <c r="I7" s="56">
        <v>930.0</v>
      </c>
      <c r="J7" s="56">
        <v>840.0</v>
      </c>
      <c r="K7" s="56">
        <v>1120.0</v>
      </c>
      <c r="L7" s="57">
        <v>1000.0</v>
      </c>
      <c r="M7" s="65">
        <f t="shared" si="1"/>
        <v>1234</v>
      </c>
      <c r="N7" s="59">
        <f t="shared" si="2"/>
        <v>2500</v>
      </c>
      <c r="O7" s="60">
        <f t="shared" si="3"/>
        <v>1654</v>
      </c>
      <c r="P7" s="45"/>
      <c r="R7" s="45"/>
      <c r="T7" s="45"/>
      <c r="V7" s="45"/>
    </row>
    <row r="8">
      <c r="A8" s="17"/>
      <c r="B8" s="66" t="s">
        <v>18</v>
      </c>
      <c r="C8" s="55">
        <v>1587.18</v>
      </c>
      <c r="D8" s="56">
        <v>1402.95</v>
      </c>
      <c r="E8" s="56">
        <v>5173.04</v>
      </c>
      <c r="F8" s="56">
        <v>2817.57</v>
      </c>
      <c r="G8" s="56">
        <v>989.265</v>
      </c>
      <c r="H8" s="56">
        <v>930.694</v>
      </c>
      <c r="I8" s="56">
        <v>1236.79</v>
      </c>
      <c r="J8" s="56">
        <v>863.19</v>
      </c>
      <c r="K8" s="56">
        <v>1562.23</v>
      </c>
      <c r="L8" s="57">
        <v>1046.01</v>
      </c>
      <c r="M8" s="58">
        <f t="shared" si="1"/>
        <v>1760.8919</v>
      </c>
      <c r="N8" s="59">
        <f t="shared" si="2"/>
        <v>5173.04</v>
      </c>
      <c r="O8" s="60">
        <f t="shared" si="3"/>
        <v>3053.117</v>
      </c>
      <c r="P8" s="45"/>
      <c r="R8" s="45"/>
      <c r="T8" s="45"/>
      <c r="V8" s="45"/>
    </row>
    <row r="9">
      <c r="A9" s="61" t="s">
        <v>21</v>
      </c>
      <c r="B9" s="5" t="s">
        <v>17</v>
      </c>
      <c r="C9" s="26">
        <v>3130.0</v>
      </c>
      <c r="D9" s="27">
        <v>1870.0</v>
      </c>
      <c r="E9" s="27">
        <v>2360.0</v>
      </c>
      <c r="F9" s="27">
        <v>4170.0</v>
      </c>
      <c r="G9" s="27">
        <v>1470.0</v>
      </c>
      <c r="H9" s="27">
        <v>1390.0</v>
      </c>
      <c r="I9" s="27">
        <v>3150.0</v>
      </c>
      <c r="J9" s="27">
        <v>2020.0</v>
      </c>
      <c r="K9" s="27">
        <v>2060.0</v>
      </c>
      <c r="L9" s="28">
        <v>1770.0</v>
      </c>
      <c r="M9" s="29">
        <f t="shared" si="1"/>
        <v>2339</v>
      </c>
      <c r="N9" s="30">
        <f t="shared" si="2"/>
        <v>4170</v>
      </c>
      <c r="O9" s="31">
        <f t="shared" si="3"/>
        <v>3252</v>
      </c>
      <c r="P9" s="45"/>
      <c r="R9" s="45"/>
      <c r="T9" s="45"/>
      <c r="V9" s="45"/>
    </row>
    <row r="10">
      <c r="A10" s="17"/>
      <c r="B10" s="62" t="s">
        <v>18</v>
      </c>
      <c r="C10" s="26">
        <v>4814.4</v>
      </c>
      <c r="D10" s="27">
        <v>2566.82</v>
      </c>
      <c r="E10" s="27">
        <v>3137.05</v>
      </c>
      <c r="F10" s="27">
        <v>4900.39</v>
      </c>
      <c r="G10" s="27">
        <v>1703.35</v>
      </c>
      <c r="H10" s="27">
        <v>1499.69</v>
      </c>
      <c r="I10" s="27">
        <v>4351.65</v>
      </c>
      <c r="J10" s="27">
        <v>2285.4</v>
      </c>
      <c r="K10" s="27">
        <v>3032.99</v>
      </c>
      <c r="L10" s="28">
        <v>2459.6</v>
      </c>
      <c r="M10" s="63">
        <f t="shared" si="1"/>
        <v>3075.134</v>
      </c>
      <c r="N10" s="30">
        <f t="shared" si="2"/>
        <v>4900.39</v>
      </c>
      <c r="O10" s="31">
        <f t="shared" si="3"/>
        <v>4822.999</v>
      </c>
      <c r="P10" s="45"/>
      <c r="R10" s="45"/>
      <c r="T10" s="45"/>
      <c r="V10" s="45"/>
    </row>
    <row r="11">
      <c r="A11" s="64" t="s">
        <v>22</v>
      </c>
      <c r="B11" s="47" t="s">
        <v>17</v>
      </c>
      <c r="C11" s="55">
        <v>5490.0</v>
      </c>
      <c r="D11" s="56">
        <v>4870.0</v>
      </c>
      <c r="E11" s="56">
        <v>7890.0</v>
      </c>
      <c r="F11" s="56">
        <v>6620.0</v>
      </c>
      <c r="G11" s="56">
        <v>2950.0</v>
      </c>
      <c r="H11" s="56">
        <v>3990.0</v>
      </c>
      <c r="I11" s="56">
        <v>3360.0</v>
      </c>
      <c r="J11" s="56">
        <v>4070.0</v>
      </c>
      <c r="K11" s="56">
        <v>3540.0</v>
      </c>
      <c r="L11" s="57">
        <v>3450.0</v>
      </c>
      <c r="M11" s="65">
        <f t="shared" si="1"/>
        <v>4623</v>
      </c>
      <c r="N11" s="59">
        <f t="shared" si="2"/>
        <v>7890</v>
      </c>
      <c r="O11" s="60">
        <f t="shared" si="3"/>
        <v>6747</v>
      </c>
      <c r="P11" s="45"/>
      <c r="R11" s="45"/>
      <c r="T11" s="45"/>
      <c r="V11" s="45"/>
    </row>
    <row r="12">
      <c r="A12" s="17"/>
      <c r="B12" s="67" t="s">
        <v>18</v>
      </c>
      <c r="C12" s="68">
        <v>8060.13</v>
      </c>
      <c r="D12" s="69">
        <v>6050.85</v>
      </c>
      <c r="E12" s="69">
        <v>10970.3</v>
      </c>
      <c r="F12" s="69">
        <v>10151.5</v>
      </c>
      <c r="G12" s="69">
        <v>5170.02</v>
      </c>
      <c r="H12" s="69">
        <v>4479.26</v>
      </c>
      <c r="I12" s="69">
        <v>4572.53</v>
      </c>
      <c r="J12" s="69">
        <v>4310.49</v>
      </c>
      <c r="K12" s="69">
        <v>4294.33</v>
      </c>
      <c r="L12" s="70">
        <v>3794.21</v>
      </c>
      <c r="M12" s="71">
        <f t="shared" si="1"/>
        <v>6185.362</v>
      </c>
      <c r="N12" s="72">
        <f t="shared" si="2"/>
        <v>10970.3</v>
      </c>
      <c r="O12" s="73">
        <f t="shared" si="3"/>
        <v>10233.38</v>
      </c>
      <c r="P12" s="45"/>
      <c r="R12" s="45"/>
      <c r="T12" s="45"/>
      <c r="V12" s="45"/>
    </row>
    <row r="13">
      <c r="O13" s="41"/>
      <c r="P13" s="45"/>
      <c r="R13" s="45"/>
      <c r="T13" s="45"/>
      <c r="V13" s="45"/>
    </row>
    <row r="14">
      <c r="A14" s="1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5"/>
      <c r="R14" s="45"/>
      <c r="T14" s="45"/>
      <c r="V14" s="45"/>
    </row>
    <row r="15">
      <c r="A15" s="4" t="s">
        <v>1</v>
      </c>
      <c r="B15" s="5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6" t="s">
        <v>11</v>
      </c>
      <c r="L15" s="6" t="s">
        <v>12</v>
      </c>
      <c r="M15" s="7" t="s">
        <v>13</v>
      </c>
      <c r="N15" s="7" t="s">
        <v>14</v>
      </c>
      <c r="O15" s="8" t="s">
        <v>15</v>
      </c>
      <c r="P15" s="45"/>
      <c r="R15" s="45"/>
      <c r="T15" s="45"/>
      <c r="V15" s="45"/>
    </row>
    <row r="16">
      <c r="A16" s="64" t="s">
        <v>16</v>
      </c>
      <c r="B16" s="47" t="s">
        <v>17</v>
      </c>
      <c r="C16" s="48">
        <v>510.0</v>
      </c>
      <c r="D16" s="49">
        <v>480.0</v>
      </c>
      <c r="E16" s="49">
        <v>410.0</v>
      </c>
      <c r="F16" s="49">
        <v>500.0</v>
      </c>
      <c r="G16" s="49">
        <v>310.0</v>
      </c>
      <c r="H16" s="49">
        <v>310.0</v>
      </c>
      <c r="I16" s="49">
        <v>250.0</v>
      </c>
      <c r="J16" s="49">
        <v>510.0</v>
      </c>
      <c r="K16" s="49">
        <v>470.0</v>
      </c>
      <c r="L16" s="50">
        <v>590.0</v>
      </c>
      <c r="M16" s="51">
        <f t="shared" ref="M16:M25" si="4">AVERAGE(C16:L16)</f>
        <v>434</v>
      </c>
      <c r="N16" s="52">
        <f t="shared" ref="N16:N25" si="5">MAX(C16:L16)</f>
        <v>590</v>
      </c>
      <c r="O16" s="53">
        <f t="shared" ref="O16:O25" si="6">_xlfn.PERCENTILE.INC(C16:L16, 0.9)</f>
        <v>518</v>
      </c>
      <c r="P16" s="45"/>
      <c r="R16" s="45"/>
      <c r="T16" s="45"/>
      <c r="V16" s="45"/>
    </row>
    <row r="17">
      <c r="A17" s="17"/>
      <c r="B17" s="66" t="s">
        <v>18</v>
      </c>
      <c r="C17" s="55">
        <v>524.075</v>
      </c>
      <c r="D17" s="56">
        <v>898.988</v>
      </c>
      <c r="E17" s="56">
        <v>414.799</v>
      </c>
      <c r="F17" s="56">
        <v>519.337</v>
      </c>
      <c r="G17" s="56">
        <v>307.435</v>
      </c>
      <c r="H17" s="56">
        <v>312.319</v>
      </c>
      <c r="I17" s="56">
        <v>251.764</v>
      </c>
      <c r="J17" s="56">
        <v>624.512</v>
      </c>
      <c r="K17" s="56">
        <v>823.454</v>
      </c>
      <c r="L17" s="57">
        <v>933.974</v>
      </c>
      <c r="M17" s="58">
        <f t="shared" si="4"/>
        <v>561.0657</v>
      </c>
      <c r="N17" s="59">
        <f t="shared" si="5"/>
        <v>933.974</v>
      </c>
      <c r="O17" s="60">
        <f t="shared" si="6"/>
        <v>902.4866</v>
      </c>
      <c r="P17" s="45"/>
      <c r="R17" s="45"/>
      <c r="T17" s="45"/>
      <c r="V17" s="45"/>
    </row>
    <row r="18">
      <c r="A18" s="61" t="s">
        <v>19</v>
      </c>
      <c r="B18" s="5" t="s">
        <v>17</v>
      </c>
      <c r="C18" s="26">
        <v>800.0</v>
      </c>
      <c r="D18" s="27">
        <v>1070.0</v>
      </c>
      <c r="E18" s="27">
        <v>780.0</v>
      </c>
      <c r="F18" s="27">
        <v>820.0</v>
      </c>
      <c r="G18" s="27">
        <v>1030.0</v>
      </c>
      <c r="H18" s="27">
        <v>640.0</v>
      </c>
      <c r="I18" s="27">
        <v>600.0</v>
      </c>
      <c r="J18" s="27">
        <v>1050.0</v>
      </c>
      <c r="K18" s="27">
        <v>970.0</v>
      </c>
      <c r="L18" s="28">
        <v>1070.0</v>
      </c>
      <c r="M18" s="29">
        <f t="shared" si="4"/>
        <v>883</v>
      </c>
      <c r="N18" s="30">
        <f t="shared" si="5"/>
        <v>1070</v>
      </c>
      <c r="O18" s="31">
        <f t="shared" si="6"/>
        <v>1070</v>
      </c>
      <c r="P18" s="45"/>
      <c r="R18" s="45"/>
      <c r="T18" s="45"/>
      <c r="V18" s="45"/>
    </row>
    <row r="19">
      <c r="A19" s="17"/>
      <c r="B19" s="62" t="s">
        <v>18</v>
      </c>
      <c r="C19" s="26">
        <v>821.741</v>
      </c>
      <c r="D19" s="27">
        <v>1141.09</v>
      </c>
      <c r="E19" s="27">
        <v>968.93</v>
      </c>
      <c r="F19" s="27">
        <v>1099.13</v>
      </c>
      <c r="G19" s="27">
        <v>2337.36</v>
      </c>
      <c r="H19" s="27">
        <v>708.056</v>
      </c>
      <c r="I19" s="27">
        <v>608.308</v>
      </c>
      <c r="J19" s="27">
        <v>1157.59</v>
      </c>
      <c r="K19" s="27">
        <v>987.034</v>
      </c>
      <c r="L19" s="28">
        <v>1244.5</v>
      </c>
      <c r="M19" s="63">
        <f t="shared" si="4"/>
        <v>1107.3739</v>
      </c>
      <c r="N19" s="30">
        <f t="shared" si="5"/>
        <v>2337.36</v>
      </c>
      <c r="O19" s="31">
        <f t="shared" si="6"/>
        <v>1353.786</v>
      </c>
      <c r="P19" s="45"/>
      <c r="R19" s="45"/>
      <c r="T19" s="45"/>
      <c r="V19" s="45"/>
    </row>
    <row r="20">
      <c r="A20" s="64" t="s">
        <v>20</v>
      </c>
      <c r="B20" s="47" t="s">
        <v>17</v>
      </c>
      <c r="C20" s="55">
        <v>1130.0</v>
      </c>
      <c r="D20" s="56">
        <v>1350.0</v>
      </c>
      <c r="E20" s="56">
        <v>1330.0</v>
      </c>
      <c r="F20" s="56">
        <v>910.0</v>
      </c>
      <c r="G20" s="56">
        <v>1810.0</v>
      </c>
      <c r="H20" s="56">
        <v>1910.0</v>
      </c>
      <c r="I20" s="56">
        <v>1230.0</v>
      </c>
      <c r="J20" s="56">
        <v>1680.0</v>
      </c>
      <c r="K20" s="56">
        <v>1140.0</v>
      </c>
      <c r="L20" s="57">
        <v>2680.0</v>
      </c>
      <c r="M20" s="65">
        <f t="shared" si="4"/>
        <v>1517</v>
      </c>
      <c r="N20" s="59">
        <f t="shared" si="5"/>
        <v>2680</v>
      </c>
      <c r="O20" s="60">
        <f t="shared" si="6"/>
        <v>1987</v>
      </c>
      <c r="P20" s="45"/>
      <c r="R20" s="45"/>
      <c r="T20" s="45"/>
      <c r="V20" s="45"/>
    </row>
    <row r="21">
      <c r="A21" s="17"/>
      <c r="B21" s="66" t="s">
        <v>18</v>
      </c>
      <c r="C21" s="55">
        <v>1128.09</v>
      </c>
      <c r="D21" s="56">
        <v>1343.27</v>
      </c>
      <c r="E21" s="56">
        <v>1341.16</v>
      </c>
      <c r="F21" s="56">
        <v>918.465</v>
      </c>
      <c r="G21" s="56">
        <v>3309.69</v>
      </c>
      <c r="H21" s="56">
        <v>1918.84</v>
      </c>
      <c r="I21" s="56">
        <v>2515.71</v>
      </c>
      <c r="J21" s="56">
        <v>1682.46</v>
      </c>
      <c r="K21" s="56">
        <v>2285.84</v>
      </c>
      <c r="L21" s="57">
        <v>2700.98</v>
      </c>
      <c r="M21" s="58">
        <f t="shared" si="4"/>
        <v>1914.4505</v>
      </c>
      <c r="N21" s="59">
        <f t="shared" si="5"/>
        <v>3309.69</v>
      </c>
      <c r="O21" s="60">
        <f t="shared" si="6"/>
        <v>2761.851</v>
      </c>
      <c r="P21" s="45"/>
      <c r="R21" s="45"/>
      <c r="T21" s="45"/>
      <c r="V21" s="45"/>
    </row>
    <row r="22">
      <c r="A22" s="61" t="s">
        <v>21</v>
      </c>
      <c r="B22" s="5" t="s">
        <v>17</v>
      </c>
      <c r="C22" s="26">
        <v>2910.0</v>
      </c>
      <c r="D22" s="27">
        <v>4180.0</v>
      </c>
      <c r="E22" s="27">
        <v>2650.0</v>
      </c>
      <c r="F22" s="27">
        <v>3220.0</v>
      </c>
      <c r="G22" s="27">
        <v>2290.0</v>
      </c>
      <c r="H22" s="27">
        <v>3200.0</v>
      </c>
      <c r="I22" s="27">
        <v>1660.0</v>
      </c>
      <c r="J22" s="27">
        <v>2730.0</v>
      </c>
      <c r="K22" s="27">
        <v>2100.0</v>
      </c>
      <c r="L22" s="28">
        <v>6270.0</v>
      </c>
      <c r="M22" s="29">
        <f t="shared" si="4"/>
        <v>3121</v>
      </c>
      <c r="N22" s="30">
        <f t="shared" si="5"/>
        <v>6270</v>
      </c>
      <c r="O22" s="31">
        <f t="shared" si="6"/>
        <v>4389</v>
      </c>
      <c r="P22" s="45"/>
      <c r="R22" s="45"/>
      <c r="T22" s="45"/>
      <c r="V22" s="45"/>
    </row>
    <row r="23">
      <c r="A23" s="17"/>
      <c r="B23" s="62" t="s">
        <v>18</v>
      </c>
      <c r="C23" s="26">
        <v>2923.13</v>
      </c>
      <c r="D23" s="27">
        <v>4181.91</v>
      </c>
      <c r="E23" s="27">
        <v>2655.24</v>
      </c>
      <c r="F23" s="27">
        <v>4171.11</v>
      </c>
      <c r="G23" s="27">
        <v>2301.96</v>
      </c>
      <c r="H23" s="27">
        <v>3627.83</v>
      </c>
      <c r="I23" s="27">
        <v>1663.24</v>
      </c>
      <c r="J23" s="27">
        <v>2753.89</v>
      </c>
      <c r="K23" s="27">
        <v>2120.05</v>
      </c>
      <c r="L23" s="28">
        <v>7584.49</v>
      </c>
      <c r="M23" s="63">
        <f t="shared" si="4"/>
        <v>3398.285</v>
      </c>
      <c r="N23" s="30">
        <f t="shared" si="5"/>
        <v>7584.49</v>
      </c>
      <c r="O23" s="31">
        <f t="shared" si="6"/>
        <v>4522.168</v>
      </c>
      <c r="P23" s="45"/>
      <c r="R23" s="45"/>
      <c r="T23" s="45"/>
      <c r="V23" s="45"/>
    </row>
    <row r="24">
      <c r="A24" s="64" t="s">
        <v>22</v>
      </c>
      <c r="B24" s="47" t="s">
        <v>17</v>
      </c>
      <c r="C24" s="55">
        <v>2720.0</v>
      </c>
      <c r="D24" s="56">
        <v>5180.0</v>
      </c>
      <c r="E24" s="56">
        <v>5320.0</v>
      </c>
      <c r="F24" s="56">
        <v>2680.0</v>
      </c>
      <c r="G24" s="56">
        <v>3870.0</v>
      </c>
      <c r="H24" s="56">
        <v>2880.0</v>
      </c>
      <c r="I24" s="56">
        <v>4920.0</v>
      </c>
      <c r="J24" s="56">
        <v>9120.0</v>
      </c>
      <c r="K24" s="56">
        <v>3920.0</v>
      </c>
      <c r="L24" s="57">
        <v>5510.0</v>
      </c>
      <c r="M24" s="65">
        <f t="shared" si="4"/>
        <v>4612</v>
      </c>
      <c r="N24" s="59">
        <f t="shared" si="5"/>
        <v>9120</v>
      </c>
      <c r="O24" s="60">
        <f t="shared" si="6"/>
        <v>5871</v>
      </c>
      <c r="P24" s="45"/>
      <c r="R24" s="45"/>
      <c r="T24" s="45"/>
      <c r="V24" s="45"/>
    </row>
    <row r="25">
      <c r="A25" s="17"/>
      <c r="B25" s="67" t="s">
        <v>18</v>
      </c>
      <c r="C25" s="68">
        <v>2722.72</v>
      </c>
      <c r="D25" s="69">
        <v>10022.7</v>
      </c>
      <c r="E25" s="69">
        <v>7333.78</v>
      </c>
      <c r="F25" s="69">
        <v>2686.66</v>
      </c>
      <c r="G25" s="69">
        <v>3872.89</v>
      </c>
      <c r="H25" s="69">
        <v>2892.0</v>
      </c>
      <c r="I25" s="69">
        <v>5123.9</v>
      </c>
      <c r="J25" s="69">
        <v>9140.31</v>
      </c>
      <c r="K25" s="69">
        <v>3935.12</v>
      </c>
      <c r="L25" s="70">
        <v>8573.51</v>
      </c>
      <c r="M25" s="71">
        <f t="shared" si="4"/>
        <v>5630.359</v>
      </c>
      <c r="N25" s="72">
        <f t="shared" si="5"/>
        <v>10022.7</v>
      </c>
      <c r="O25" s="73">
        <f t="shared" si="6"/>
        <v>9228.549</v>
      </c>
      <c r="P25" s="45"/>
      <c r="R25" s="45"/>
      <c r="T25" s="45"/>
      <c r="V25" s="45"/>
    </row>
    <row r="26">
      <c r="O26" s="41"/>
      <c r="P26" s="45"/>
      <c r="R26" s="45"/>
      <c r="T26" s="45"/>
      <c r="V26" s="45"/>
    </row>
    <row r="27">
      <c r="A27" s="1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5"/>
      <c r="R27" s="45"/>
      <c r="T27" s="45"/>
      <c r="V27" s="45"/>
    </row>
    <row r="28">
      <c r="A28" s="4" t="s">
        <v>1</v>
      </c>
      <c r="B28" s="4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  <c r="I28" s="6" t="s">
        <v>9</v>
      </c>
      <c r="J28" s="6" t="s">
        <v>10</v>
      </c>
      <c r="K28" s="6" t="s">
        <v>11</v>
      </c>
      <c r="L28" s="6" t="s">
        <v>12</v>
      </c>
      <c r="M28" s="7" t="s">
        <v>13</v>
      </c>
      <c r="N28" s="7" t="s">
        <v>14</v>
      </c>
      <c r="O28" s="8" t="s">
        <v>15</v>
      </c>
      <c r="P28" s="45"/>
      <c r="R28" s="45"/>
      <c r="T28" s="45"/>
      <c r="V28" s="45"/>
    </row>
    <row r="29">
      <c r="A29" s="46" t="s">
        <v>16</v>
      </c>
      <c r="B29" s="47" t="s">
        <v>17</v>
      </c>
      <c r="C29" s="56">
        <v>390.0</v>
      </c>
      <c r="D29" s="56">
        <v>270.0</v>
      </c>
      <c r="E29" s="56">
        <v>700.0</v>
      </c>
      <c r="F29" s="56">
        <v>320.0</v>
      </c>
      <c r="G29" s="56">
        <v>330.0</v>
      </c>
      <c r="H29" s="56">
        <v>180.0</v>
      </c>
      <c r="I29" s="56">
        <v>480.0</v>
      </c>
      <c r="J29" s="56">
        <v>180.0</v>
      </c>
      <c r="K29" s="56">
        <v>210.0</v>
      </c>
      <c r="L29" s="56">
        <v>270.0</v>
      </c>
      <c r="M29" s="51">
        <f t="shared" ref="M29:M38" si="7">AVERAGE(C29:L29)</f>
        <v>333</v>
      </c>
      <c r="N29" s="52">
        <f t="shared" ref="N29:N38" si="8">MAX(C29:L29)</f>
        <v>700</v>
      </c>
      <c r="O29" s="53">
        <f t="shared" ref="O29:O38" si="9">_xlfn.PERCENTILE.INC(C29:L29, 0.9)</f>
        <v>502</v>
      </c>
      <c r="P29" s="45"/>
      <c r="R29" s="45"/>
      <c r="T29" s="45"/>
      <c r="V29" s="45"/>
    </row>
    <row r="30">
      <c r="A30" s="32"/>
      <c r="B30" s="54" t="s">
        <v>18</v>
      </c>
      <c r="C30" s="56">
        <v>388.97</v>
      </c>
      <c r="D30" s="56">
        <v>266.247</v>
      </c>
      <c r="E30" s="56">
        <v>704.601</v>
      </c>
      <c r="F30" s="56">
        <v>320.097</v>
      </c>
      <c r="G30" s="56">
        <v>329.796</v>
      </c>
      <c r="H30" s="56">
        <v>170.962</v>
      </c>
      <c r="I30" s="56">
        <v>472.132</v>
      </c>
      <c r="J30" s="56">
        <v>180.634</v>
      </c>
      <c r="K30" s="56">
        <v>198.888</v>
      </c>
      <c r="L30" s="56">
        <v>277.013</v>
      </c>
      <c r="M30" s="58">
        <f t="shared" si="7"/>
        <v>330.934</v>
      </c>
      <c r="N30" s="59">
        <f t="shared" si="8"/>
        <v>704.601</v>
      </c>
      <c r="O30" s="60">
        <f t="shared" si="9"/>
        <v>495.3789</v>
      </c>
      <c r="P30" s="45"/>
      <c r="R30" s="45"/>
      <c r="T30" s="45"/>
      <c r="V30" s="45"/>
    </row>
    <row r="31">
      <c r="A31" s="25" t="s">
        <v>19</v>
      </c>
      <c r="B31" s="5" t="s">
        <v>17</v>
      </c>
      <c r="C31" s="27">
        <v>900.0</v>
      </c>
      <c r="D31" s="27">
        <v>1070.0</v>
      </c>
      <c r="E31" s="27">
        <v>610.0</v>
      </c>
      <c r="F31" s="27">
        <v>540.0</v>
      </c>
      <c r="G31" s="27">
        <v>920.0</v>
      </c>
      <c r="H31" s="27">
        <v>670.0</v>
      </c>
      <c r="I31" s="27">
        <v>880.0</v>
      </c>
      <c r="J31" s="27">
        <v>980.0</v>
      </c>
      <c r="K31" s="27">
        <v>600.0</v>
      </c>
      <c r="L31" s="27">
        <v>900.0</v>
      </c>
      <c r="M31" s="29">
        <f t="shared" si="7"/>
        <v>807</v>
      </c>
      <c r="N31" s="30">
        <f t="shared" si="8"/>
        <v>1070</v>
      </c>
      <c r="O31" s="31">
        <f t="shared" si="9"/>
        <v>989</v>
      </c>
      <c r="P31" s="45"/>
      <c r="R31" s="45"/>
      <c r="T31" s="45"/>
      <c r="V31" s="45"/>
    </row>
    <row r="32">
      <c r="A32" s="32"/>
      <c r="B32" s="62" t="s">
        <v>18</v>
      </c>
      <c r="C32" s="27">
        <v>908.926</v>
      </c>
      <c r="D32" s="27">
        <v>1069.92</v>
      </c>
      <c r="E32" s="27">
        <v>611.748</v>
      </c>
      <c r="F32" s="27">
        <v>553.338</v>
      </c>
      <c r="G32" s="27">
        <v>921.413</v>
      </c>
      <c r="H32" s="27">
        <v>679.125</v>
      </c>
      <c r="I32" s="27">
        <v>884.265</v>
      </c>
      <c r="J32" s="27">
        <v>971.043</v>
      </c>
      <c r="K32" s="27">
        <v>594.371</v>
      </c>
      <c r="L32" s="27">
        <v>902.906</v>
      </c>
      <c r="M32" s="63">
        <f t="shared" si="7"/>
        <v>809.7055</v>
      </c>
      <c r="N32" s="30">
        <f t="shared" si="8"/>
        <v>1069.92</v>
      </c>
      <c r="O32" s="31">
        <f t="shared" si="9"/>
        <v>980.9307</v>
      </c>
      <c r="P32" s="45"/>
      <c r="R32" s="45"/>
      <c r="T32" s="45"/>
      <c r="V32" s="45"/>
    </row>
    <row r="33">
      <c r="A33" s="46" t="s">
        <v>20</v>
      </c>
      <c r="B33" s="47" t="s">
        <v>17</v>
      </c>
      <c r="C33" s="56">
        <v>1960.0</v>
      </c>
      <c r="D33" s="56">
        <v>810.0</v>
      </c>
      <c r="E33" s="56">
        <v>1670.0</v>
      </c>
      <c r="F33" s="56">
        <v>1570.0</v>
      </c>
      <c r="G33" s="56">
        <v>1300.0</v>
      </c>
      <c r="H33" s="56">
        <v>1190.0</v>
      </c>
      <c r="I33" s="56">
        <v>1640.0</v>
      </c>
      <c r="J33" s="56">
        <v>1670.0</v>
      </c>
      <c r="K33" s="56">
        <v>790.0</v>
      </c>
      <c r="L33" s="56">
        <v>1780.0</v>
      </c>
      <c r="M33" s="65">
        <f t="shared" si="7"/>
        <v>1438</v>
      </c>
      <c r="N33" s="59">
        <f t="shared" si="8"/>
        <v>1960</v>
      </c>
      <c r="O33" s="60">
        <f t="shared" si="9"/>
        <v>1798</v>
      </c>
      <c r="P33" s="45"/>
      <c r="R33" s="45"/>
      <c r="T33" s="45"/>
      <c r="V33" s="45"/>
    </row>
    <row r="34">
      <c r="A34" s="32"/>
      <c r="B34" s="66" t="s">
        <v>18</v>
      </c>
      <c r="C34" s="56">
        <v>1960.23</v>
      </c>
      <c r="D34" s="56">
        <v>808.807</v>
      </c>
      <c r="E34" s="56">
        <v>1675.32</v>
      </c>
      <c r="F34" s="56">
        <v>1572.53</v>
      </c>
      <c r="G34" s="56">
        <v>1304.17</v>
      </c>
      <c r="H34" s="56">
        <v>1189.72</v>
      </c>
      <c r="I34" s="56">
        <v>1652.18</v>
      </c>
      <c r="J34" s="56">
        <v>1681.93</v>
      </c>
      <c r="K34" s="56">
        <v>789.96</v>
      </c>
      <c r="L34" s="56">
        <v>1780.88</v>
      </c>
      <c r="M34" s="58">
        <f t="shared" si="7"/>
        <v>1441.5727</v>
      </c>
      <c r="N34" s="59">
        <f t="shared" si="8"/>
        <v>1960.23</v>
      </c>
      <c r="O34" s="60">
        <f t="shared" si="9"/>
        <v>1798.815</v>
      </c>
      <c r="P34" s="45"/>
      <c r="R34" s="45"/>
      <c r="T34" s="45"/>
      <c r="V34" s="45"/>
    </row>
    <row r="35">
      <c r="A35" s="25" t="s">
        <v>21</v>
      </c>
      <c r="B35" s="5" t="s">
        <v>17</v>
      </c>
      <c r="C35" s="27">
        <v>3180.0</v>
      </c>
      <c r="D35" s="27">
        <v>1850.0</v>
      </c>
      <c r="E35" s="27">
        <v>3670.0</v>
      </c>
      <c r="F35" s="27">
        <v>2720.0</v>
      </c>
      <c r="G35" s="27">
        <v>2710.0</v>
      </c>
      <c r="H35" s="27">
        <v>3680.0</v>
      </c>
      <c r="I35" s="27">
        <v>3430.0</v>
      </c>
      <c r="J35" s="27">
        <v>3290.0</v>
      </c>
      <c r="K35" s="27">
        <v>2660.0</v>
      </c>
      <c r="L35" s="27">
        <v>3200.0</v>
      </c>
      <c r="M35" s="29">
        <f t="shared" si="7"/>
        <v>3039</v>
      </c>
      <c r="N35" s="30">
        <f t="shared" si="8"/>
        <v>3680</v>
      </c>
      <c r="O35" s="31">
        <f t="shared" si="9"/>
        <v>3671</v>
      </c>
      <c r="P35" s="45"/>
      <c r="R35" s="45"/>
      <c r="T35" s="45"/>
      <c r="V35" s="45"/>
    </row>
    <row r="36">
      <c r="A36" s="32"/>
      <c r="B36" s="62" t="s">
        <v>18</v>
      </c>
      <c r="C36" s="27">
        <v>3180.45</v>
      </c>
      <c r="D36" s="27">
        <v>1853.15</v>
      </c>
      <c r="E36" s="27">
        <v>3682.4</v>
      </c>
      <c r="F36" s="27">
        <v>2719.59</v>
      </c>
      <c r="G36" s="27">
        <v>2719.8</v>
      </c>
      <c r="H36" s="27">
        <v>3691.07</v>
      </c>
      <c r="I36" s="27">
        <v>3436.49</v>
      </c>
      <c r="J36" s="27">
        <v>3286.47</v>
      </c>
      <c r="K36" s="27">
        <v>2660.35</v>
      </c>
      <c r="L36" s="27">
        <v>3201.19</v>
      </c>
      <c r="M36" s="63">
        <f t="shared" si="7"/>
        <v>3043.096</v>
      </c>
      <c r="N36" s="30">
        <f t="shared" si="8"/>
        <v>3691.07</v>
      </c>
      <c r="O36" s="31">
        <f t="shared" si="9"/>
        <v>3683.267</v>
      </c>
      <c r="P36" s="45"/>
      <c r="R36" s="45"/>
      <c r="T36" s="45"/>
      <c r="V36" s="45"/>
    </row>
    <row r="37">
      <c r="A37" s="46" t="s">
        <v>22</v>
      </c>
      <c r="B37" s="47" t="s">
        <v>17</v>
      </c>
      <c r="C37" s="56">
        <v>4610.0</v>
      </c>
      <c r="D37" s="56">
        <v>6530.0</v>
      </c>
      <c r="E37" s="56">
        <v>6570.0</v>
      </c>
      <c r="F37" s="56">
        <v>6010.0</v>
      </c>
      <c r="G37" s="56">
        <v>5690.0</v>
      </c>
      <c r="H37" s="56">
        <v>5760.0</v>
      </c>
      <c r="I37" s="56">
        <v>4240.0</v>
      </c>
      <c r="J37" s="56">
        <v>3380.0</v>
      </c>
      <c r="K37" s="56">
        <v>4350.0</v>
      </c>
      <c r="L37" s="56">
        <v>3970.0</v>
      </c>
      <c r="M37" s="65">
        <f t="shared" si="7"/>
        <v>5111</v>
      </c>
      <c r="N37" s="59">
        <f t="shared" si="8"/>
        <v>6570</v>
      </c>
      <c r="O37" s="60">
        <f t="shared" si="9"/>
        <v>6534</v>
      </c>
      <c r="P37" s="45"/>
      <c r="R37" s="45"/>
      <c r="T37" s="45"/>
      <c r="V37" s="45"/>
    </row>
    <row r="38">
      <c r="A38" s="32"/>
      <c r="B38" s="67" t="s">
        <v>18</v>
      </c>
      <c r="C38" s="69">
        <v>4623.51</v>
      </c>
      <c r="D38" s="69">
        <v>6546.8</v>
      </c>
      <c r="E38" s="69">
        <v>6596.93</v>
      </c>
      <c r="F38" s="69">
        <v>6024.49</v>
      </c>
      <c r="G38" s="69">
        <v>5711.95</v>
      </c>
      <c r="H38" s="69">
        <v>5771.58</v>
      </c>
      <c r="I38" s="69">
        <v>4250.47</v>
      </c>
      <c r="J38" s="69">
        <v>3387.67</v>
      </c>
      <c r="K38" s="69">
        <v>4374.52</v>
      </c>
      <c r="L38" s="69">
        <v>3975.27</v>
      </c>
      <c r="M38" s="71">
        <f t="shared" si="7"/>
        <v>5126.319</v>
      </c>
      <c r="N38" s="72">
        <f t="shared" si="8"/>
        <v>6596.93</v>
      </c>
      <c r="O38" s="73">
        <f t="shared" si="9"/>
        <v>6551.813</v>
      </c>
      <c r="P38" s="45"/>
      <c r="R38" s="45"/>
      <c r="T38" s="45"/>
      <c r="V38" s="45"/>
    </row>
    <row r="39">
      <c r="O39" s="41"/>
      <c r="P39" s="45"/>
      <c r="R39" s="45"/>
      <c r="T39" s="45"/>
      <c r="V39" s="45"/>
    </row>
    <row r="40">
      <c r="A40" s="74"/>
      <c r="P40" s="45"/>
      <c r="R40" s="45"/>
      <c r="T40" s="45"/>
      <c r="V40" s="45"/>
    </row>
    <row r="41">
      <c r="O41" s="41"/>
      <c r="P41" s="45"/>
      <c r="R41" s="45"/>
      <c r="T41" s="45"/>
      <c r="V41" s="45"/>
    </row>
    <row r="42">
      <c r="A42" s="1" t="s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5"/>
      <c r="R42" s="45"/>
      <c r="T42" s="45"/>
      <c r="V42" s="45"/>
    </row>
    <row r="43">
      <c r="A43" s="4" t="s">
        <v>1</v>
      </c>
      <c r="B43" s="4" t="s">
        <v>2</v>
      </c>
      <c r="C43" s="6" t="s">
        <v>3</v>
      </c>
      <c r="D43" s="6" t="s">
        <v>4</v>
      </c>
      <c r="E43" s="6" t="s">
        <v>5</v>
      </c>
      <c r="F43" s="6" t="s">
        <v>6</v>
      </c>
      <c r="G43" s="6" t="s">
        <v>7</v>
      </c>
      <c r="H43" s="6" t="s">
        <v>8</v>
      </c>
      <c r="I43" s="6" t="s">
        <v>9</v>
      </c>
      <c r="J43" s="6" t="s">
        <v>10</v>
      </c>
      <c r="K43" s="6" t="s">
        <v>11</v>
      </c>
      <c r="L43" s="6" t="s">
        <v>12</v>
      </c>
      <c r="M43" s="7" t="s">
        <v>13</v>
      </c>
      <c r="N43" s="7" t="s">
        <v>14</v>
      </c>
      <c r="O43" s="8" t="s">
        <v>15</v>
      </c>
      <c r="P43" s="45"/>
      <c r="R43" s="45"/>
      <c r="T43" s="45"/>
      <c r="V43" s="45"/>
    </row>
    <row r="44">
      <c r="A44" s="75" t="s">
        <v>16</v>
      </c>
      <c r="B44" s="76" t="s">
        <v>17</v>
      </c>
      <c r="C44" s="77">
        <v>160.0</v>
      </c>
      <c r="D44" s="78">
        <v>380.0</v>
      </c>
      <c r="E44" s="78">
        <v>270.0</v>
      </c>
      <c r="F44" s="78">
        <v>210.0</v>
      </c>
      <c r="G44" s="78">
        <v>160.0</v>
      </c>
      <c r="H44" s="78">
        <v>210.0</v>
      </c>
      <c r="I44" s="78">
        <v>150.0</v>
      </c>
      <c r="J44" s="78">
        <v>290.0</v>
      </c>
      <c r="K44" s="78">
        <v>310.0</v>
      </c>
      <c r="L44" s="79">
        <v>320.0</v>
      </c>
      <c r="M44" s="80">
        <f t="shared" ref="M44:M53" si="10">AVERAGE(C44:L44)</f>
        <v>246</v>
      </c>
      <c r="N44" s="81">
        <f t="shared" ref="N44:N53" si="11">MAX(C44:L44)</f>
        <v>380</v>
      </c>
      <c r="O44" s="82">
        <f t="shared" ref="O44:O53" si="12">_xlfn.PERCENTILE.INC(C44:L44, 0.9)</f>
        <v>326</v>
      </c>
      <c r="P44" s="45"/>
      <c r="R44" s="45"/>
      <c r="T44" s="45"/>
      <c r="V44" s="45"/>
    </row>
    <row r="45">
      <c r="A45" s="32"/>
      <c r="B45" s="83" t="s">
        <v>18</v>
      </c>
      <c r="C45" s="84">
        <v>156.901</v>
      </c>
      <c r="D45" s="85">
        <v>381.921</v>
      </c>
      <c r="E45" s="85">
        <v>271.721</v>
      </c>
      <c r="F45" s="85">
        <v>220.016</v>
      </c>
      <c r="G45" s="85">
        <v>155.684</v>
      </c>
      <c r="H45" s="85">
        <v>195.978</v>
      </c>
      <c r="I45" s="85">
        <v>146.72</v>
      </c>
      <c r="J45" s="85">
        <v>279.756</v>
      </c>
      <c r="K45" s="85">
        <v>306.102</v>
      </c>
      <c r="L45" s="86">
        <v>325.008</v>
      </c>
      <c r="M45" s="87">
        <f t="shared" si="10"/>
        <v>243.9807</v>
      </c>
      <c r="N45" s="88">
        <f t="shared" si="11"/>
        <v>381.921</v>
      </c>
      <c r="O45" s="89">
        <f t="shared" si="12"/>
        <v>330.6993</v>
      </c>
      <c r="P45" s="45"/>
      <c r="R45" s="45"/>
      <c r="T45" s="45"/>
      <c r="V45" s="45"/>
    </row>
    <row r="46">
      <c r="A46" s="25" t="s">
        <v>19</v>
      </c>
      <c r="B46" s="5" t="s">
        <v>17</v>
      </c>
      <c r="C46" s="26">
        <v>310.0</v>
      </c>
      <c r="D46" s="27">
        <v>340.0</v>
      </c>
      <c r="E46" s="27">
        <v>700.0</v>
      </c>
      <c r="F46" s="27">
        <v>290.0</v>
      </c>
      <c r="G46" s="27">
        <v>290.0</v>
      </c>
      <c r="H46" s="27">
        <v>350.0</v>
      </c>
      <c r="I46" s="27">
        <v>350.0</v>
      </c>
      <c r="J46" s="27">
        <v>490.0</v>
      </c>
      <c r="K46" s="27">
        <v>610.0</v>
      </c>
      <c r="L46" s="28">
        <v>580.0</v>
      </c>
      <c r="M46" s="29">
        <f t="shared" si="10"/>
        <v>431</v>
      </c>
      <c r="N46" s="30">
        <f t="shared" si="11"/>
        <v>700</v>
      </c>
      <c r="O46" s="31">
        <f t="shared" si="12"/>
        <v>619</v>
      </c>
      <c r="P46" s="45"/>
      <c r="R46" s="45"/>
      <c r="T46" s="45"/>
      <c r="V46" s="45"/>
    </row>
    <row r="47">
      <c r="A47" s="32"/>
      <c r="B47" s="62" t="s">
        <v>18</v>
      </c>
      <c r="C47" s="26">
        <v>320.63</v>
      </c>
      <c r="D47" s="27">
        <v>344.729</v>
      </c>
      <c r="E47" s="27">
        <v>710.027</v>
      </c>
      <c r="F47" s="27">
        <v>296.896</v>
      </c>
      <c r="G47" s="27">
        <v>294.245</v>
      </c>
      <c r="H47" s="27">
        <v>354.059</v>
      </c>
      <c r="I47" s="27">
        <v>347.099</v>
      </c>
      <c r="J47" s="27">
        <v>485.165</v>
      </c>
      <c r="K47" s="27">
        <v>618.505</v>
      </c>
      <c r="L47" s="28">
        <v>591.792</v>
      </c>
      <c r="M47" s="63">
        <f t="shared" si="10"/>
        <v>436.3147</v>
      </c>
      <c r="N47" s="30">
        <f t="shared" si="11"/>
        <v>710.027</v>
      </c>
      <c r="O47" s="31">
        <f t="shared" si="12"/>
        <v>627.6572</v>
      </c>
      <c r="P47" s="45"/>
      <c r="R47" s="45"/>
      <c r="T47" s="45"/>
      <c r="V47" s="45"/>
    </row>
    <row r="48">
      <c r="A48" s="75" t="s">
        <v>20</v>
      </c>
      <c r="B48" s="76" t="s">
        <v>17</v>
      </c>
      <c r="C48" s="84">
        <v>640.0</v>
      </c>
      <c r="D48" s="85">
        <v>1180.0</v>
      </c>
      <c r="E48" s="85">
        <v>880.0</v>
      </c>
      <c r="F48" s="85">
        <v>530.0</v>
      </c>
      <c r="G48" s="85">
        <v>620.0</v>
      </c>
      <c r="H48" s="85">
        <v>680.0</v>
      </c>
      <c r="I48" s="85">
        <v>580.0</v>
      </c>
      <c r="J48" s="85">
        <v>1110.0</v>
      </c>
      <c r="K48" s="85">
        <v>1160.0</v>
      </c>
      <c r="L48" s="86">
        <v>1090.0</v>
      </c>
      <c r="M48" s="90">
        <f t="shared" si="10"/>
        <v>847</v>
      </c>
      <c r="N48" s="88">
        <f t="shared" si="11"/>
        <v>1180</v>
      </c>
      <c r="O48" s="89">
        <f t="shared" si="12"/>
        <v>1162</v>
      </c>
      <c r="P48" s="45"/>
      <c r="R48" s="45"/>
      <c r="T48" s="45"/>
      <c r="V48" s="45"/>
    </row>
    <row r="49">
      <c r="A49" s="32"/>
      <c r="B49" s="91" t="s">
        <v>18</v>
      </c>
      <c r="C49" s="84">
        <v>640.955</v>
      </c>
      <c r="D49" s="85">
        <v>1180.48</v>
      </c>
      <c r="E49" s="85">
        <v>885.135</v>
      </c>
      <c r="F49" s="85">
        <v>526.204</v>
      </c>
      <c r="G49" s="85">
        <v>618.724</v>
      </c>
      <c r="H49" s="85">
        <v>683.061</v>
      </c>
      <c r="I49" s="85">
        <v>578.403</v>
      </c>
      <c r="J49" s="85">
        <v>1103.42</v>
      </c>
      <c r="K49" s="85">
        <v>1154.44</v>
      </c>
      <c r="L49" s="86">
        <v>1076.93</v>
      </c>
      <c r="M49" s="87">
        <f t="shared" si="10"/>
        <v>844.7752</v>
      </c>
      <c r="N49" s="88">
        <f t="shared" si="11"/>
        <v>1180.48</v>
      </c>
      <c r="O49" s="89">
        <f t="shared" si="12"/>
        <v>1157.044</v>
      </c>
      <c r="P49" s="45"/>
      <c r="R49" s="45"/>
      <c r="T49" s="45"/>
      <c r="V49" s="45"/>
    </row>
    <row r="50">
      <c r="A50" s="25" t="s">
        <v>21</v>
      </c>
      <c r="B50" s="5" t="s">
        <v>17</v>
      </c>
      <c r="C50" s="26">
        <v>1190.0</v>
      </c>
      <c r="D50" s="27">
        <v>2010.0</v>
      </c>
      <c r="E50" s="27">
        <v>2070.0</v>
      </c>
      <c r="F50" s="27">
        <v>1060.0</v>
      </c>
      <c r="G50" s="27">
        <v>1030.0</v>
      </c>
      <c r="H50" s="27">
        <v>980.0</v>
      </c>
      <c r="I50" s="27">
        <v>950.0</v>
      </c>
      <c r="J50" s="27">
        <v>2220.0</v>
      </c>
      <c r="K50" s="27">
        <v>1880.0</v>
      </c>
      <c r="L50" s="28">
        <v>2300.0</v>
      </c>
      <c r="M50" s="29">
        <f t="shared" si="10"/>
        <v>1569</v>
      </c>
      <c r="N50" s="30">
        <f t="shared" si="11"/>
        <v>2300</v>
      </c>
      <c r="O50" s="31">
        <f t="shared" si="12"/>
        <v>2228</v>
      </c>
      <c r="P50" s="45"/>
      <c r="R50" s="45"/>
      <c r="T50" s="45"/>
      <c r="V50" s="45"/>
    </row>
    <row r="51">
      <c r="A51" s="32"/>
      <c r="B51" s="62" t="s">
        <v>18</v>
      </c>
      <c r="C51" s="26">
        <v>1187.79</v>
      </c>
      <c r="D51" s="27">
        <v>2007.19</v>
      </c>
      <c r="E51" s="27">
        <v>2065.71</v>
      </c>
      <c r="F51" s="27">
        <v>1064.02</v>
      </c>
      <c r="G51" s="27">
        <v>1027.98</v>
      </c>
      <c r="H51" s="27">
        <v>976.401</v>
      </c>
      <c r="I51" s="27">
        <v>952.503</v>
      </c>
      <c r="J51" s="27">
        <v>2224.57</v>
      </c>
      <c r="K51" s="27">
        <v>1884.8</v>
      </c>
      <c r="L51" s="28">
        <v>2313.7</v>
      </c>
      <c r="M51" s="63">
        <f t="shared" si="10"/>
        <v>1570.4664</v>
      </c>
      <c r="N51" s="30">
        <f t="shared" si="11"/>
        <v>2313.7</v>
      </c>
      <c r="O51" s="31">
        <f t="shared" si="12"/>
        <v>2233.483</v>
      </c>
      <c r="P51" s="45"/>
      <c r="R51" s="45"/>
      <c r="T51" s="45"/>
      <c r="V51" s="45"/>
    </row>
    <row r="52">
      <c r="A52" s="75" t="s">
        <v>22</v>
      </c>
      <c r="B52" s="76" t="s">
        <v>17</v>
      </c>
      <c r="C52" s="84">
        <v>2000.0</v>
      </c>
      <c r="D52" s="85">
        <v>3930.0</v>
      </c>
      <c r="E52" s="85">
        <v>3060.0</v>
      </c>
      <c r="F52" s="85">
        <v>1930.0</v>
      </c>
      <c r="G52" s="85">
        <v>1960.0</v>
      </c>
      <c r="H52" s="85">
        <v>1940.0</v>
      </c>
      <c r="I52" s="85">
        <v>5090.0</v>
      </c>
      <c r="J52" s="85">
        <v>3920.0</v>
      </c>
      <c r="K52" s="85">
        <v>6000.0</v>
      </c>
      <c r="L52" s="86">
        <v>4930.0</v>
      </c>
      <c r="M52" s="90">
        <f t="shared" si="10"/>
        <v>3476</v>
      </c>
      <c r="N52" s="88">
        <f t="shared" si="11"/>
        <v>6000</v>
      </c>
      <c r="O52" s="89">
        <f t="shared" si="12"/>
        <v>5181</v>
      </c>
      <c r="P52" s="45"/>
      <c r="R52" s="45"/>
      <c r="T52" s="45"/>
      <c r="V52" s="45"/>
    </row>
    <row r="53">
      <c r="A53" s="32"/>
      <c r="B53" s="92" t="s">
        <v>18</v>
      </c>
      <c r="C53" s="93">
        <v>2007.9</v>
      </c>
      <c r="D53" s="94">
        <v>3925.29</v>
      </c>
      <c r="E53" s="94">
        <v>3061.65</v>
      </c>
      <c r="F53" s="94">
        <v>1934.09</v>
      </c>
      <c r="G53" s="94">
        <v>1962.14</v>
      </c>
      <c r="H53" s="94">
        <v>1957.9</v>
      </c>
      <c r="I53" s="94">
        <v>5104.3</v>
      </c>
      <c r="J53" s="94">
        <v>3935.57</v>
      </c>
      <c r="K53" s="94">
        <v>6005.59</v>
      </c>
      <c r="L53" s="95">
        <v>4945.18</v>
      </c>
      <c r="M53" s="96">
        <f t="shared" si="10"/>
        <v>3483.961</v>
      </c>
      <c r="N53" s="97">
        <f t="shared" si="11"/>
        <v>6005.59</v>
      </c>
      <c r="O53" s="98">
        <f t="shared" si="12"/>
        <v>5194.429</v>
      </c>
      <c r="P53" s="45"/>
      <c r="R53" s="45"/>
      <c r="T53" s="45"/>
      <c r="V53" s="45"/>
    </row>
    <row r="54">
      <c r="O54" s="41"/>
      <c r="P54" s="45"/>
      <c r="R54" s="45"/>
      <c r="T54" s="45"/>
      <c r="V54" s="45"/>
    </row>
    <row r="55">
      <c r="A55" s="1" t="s">
        <v>27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5"/>
      <c r="R55" s="45"/>
      <c r="T55" s="45"/>
      <c r="V55" s="45"/>
    </row>
    <row r="56">
      <c r="A56" s="4" t="s">
        <v>1</v>
      </c>
      <c r="B56" s="4" t="s">
        <v>2</v>
      </c>
      <c r="C56" s="6" t="s">
        <v>3</v>
      </c>
      <c r="D56" s="6" t="s">
        <v>4</v>
      </c>
      <c r="E56" s="6" t="s">
        <v>5</v>
      </c>
      <c r="F56" s="6" t="s">
        <v>6</v>
      </c>
      <c r="G56" s="6" t="s">
        <v>7</v>
      </c>
      <c r="H56" s="6" t="s">
        <v>8</v>
      </c>
      <c r="I56" s="6" t="s">
        <v>9</v>
      </c>
      <c r="J56" s="6" t="s">
        <v>10</v>
      </c>
      <c r="K56" s="6" t="s">
        <v>11</v>
      </c>
      <c r="L56" s="6" t="s">
        <v>12</v>
      </c>
      <c r="M56" s="7" t="s">
        <v>13</v>
      </c>
      <c r="N56" s="7" t="s">
        <v>14</v>
      </c>
      <c r="O56" s="8" t="s">
        <v>15</v>
      </c>
      <c r="P56" s="45"/>
      <c r="R56" s="45"/>
      <c r="T56" s="45"/>
      <c r="V56" s="45"/>
    </row>
    <row r="57">
      <c r="A57" s="75" t="s">
        <v>16</v>
      </c>
      <c r="B57" s="76" t="s">
        <v>17</v>
      </c>
      <c r="C57" s="77">
        <v>500.0</v>
      </c>
      <c r="D57" s="78">
        <v>380.0</v>
      </c>
      <c r="E57" s="78">
        <v>400.0</v>
      </c>
      <c r="F57" s="78">
        <v>330.0</v>
      </c>
      <c r="G57" s="78">
        <v>350.0</v>
      </c>
      <c r="H57" s="78">
        <v>180.0</v>
      </c>
      <c r="I57" s="78">
        <v>720.0</v>
      </c>
      <c r="J57" s="78">
        <v>420.0</v>
      </c>
      <c r="K57" s="78">
        <v>500.0</v>
      </c>
      <c r="L57" s="79">
        <v>290.0</v>
      </c>
      <c r="M57" s="80">
        <f t="shared" ref="M57:M66" si="13">AVERAGE(C57:L57)</f>
        <v>407</v>
      </c>
      <c r="N57" s="81">
        <f t="shared" ref="N57:N66" si="14">MAX(C57:L57)</f>
        <v>720</v>
      </c>
      <c r="O57" s="82">
        <f t="shared" ref="O57:O66" si="15">_xlfn.PERCENTILE.INC(C57:L57, 0.9)</f>
        <v>522</v>
      </c>
      <c r="P57" s="45"/>
      <c r="R57" s="45"/>
      <c r="T57" s="45"/>
      <c r="V57" s="45"/>
    </row>
    <row r="58">
      <c r="A58" s="32"/>
      <c r="B58" s="83" t="s">
        <v>18</v>
      </c>
      <c r="C58" s="84">
        <v>507.379</v>
      </c>
      <c r="D58" s="85">
        <v>372.175</v>
      </c>
      <c r="E58" s="85">
        <v>398.639</v>
      </c>
      <c r="F58" s="85">
        <v>317.454</v>
      </c>
      <c r="G58" s="85">
        <v>357.005</v>
      </c>
      <c r="H58" s="85">
        <v>182.423</v>
      </c>
      <c r="I58" s="85">
        <v>721.623</v>
      </c>
      <c r="J58" s="85">
        <v>417.36</v>
      </c>
      <c r="K58" s="85">
        <v>495.599</v>
      </c>
      <c r="L58" s="86">
        <v>296.383</v>
      </c>
      <c r="M58" s="87">
        <f t="shared" si="13"/>
        <v>406.604</v>
      </c>
      <c r="N58" s="88">
        <f t="shared" si="14"/>
        <v>721.623</v>
      </c>
      <c r="O58" s="89">
        <f t="shared" si="15"/>
        <v>528.8034</v>
      </c>
      <c r="P58" s="45"/>
      <c r="R58" s="45"/>
      <c r="T58" s="45"/>
      <c r="V58" s="45"/>
    </row>
    <row r="59">
      <c r="A59" s="25" t="s">
        <v>19</v>
      </c>
      <c r="B59" s="5" t="s">
        <v>17</v>
      </c>
      <c r="C59" s="26">
        <v>690.0</v>
      </c>
      <c r="D59" s="27">
        <v>810.0</v>
      </c>
      <c r="E59" s="27">
        <v>1080.0</v>
      </c>
      <c r="F59" s="27">
        <v>770.0</v>
      </c>
      <c r="G59" s="27">
        <v>710.0</v>
      </c>
      <c r="H59" s="27">
        <v>550.0</v>
      </c>
      <c r="I59" s="27">
        <v>480.0</v>
      </c>
      <c r="J59" s="27">
        <v>610.0</v>
      </c>
      <c r="K59" s="27">
        <v>410.0</v>
      </c>
      <c r="L59" s="28">
        <v>520.0</v>
      </c>
      <c r="M59" s="29">
        <f t="shared" si="13"/>
        <v>663</v>
      </c>
      <c r="N59" s="30">
        <f t="shared" si="14"/>
        <v>1080</v>
      </c>
      <c r="O59" s="31">
        <f t="shared" si="15"/>
        <v>837</v>
      </c>
      <c r="P59" s="45"/>
      <c r="R59" s="45"/>
      <c r="T59" s="45"/>
      <c r="V59" s="45"/>
    </row>
    <row r="60">
      <c r="A60" s="32"/>
      <c r="B60" s="62" t="s">
        <v>18</v>
      </c>
      <c r="C60" s="26">
        <v>695.34</v>
      </c>
      <c r="D60" s="27">
        <v>809.111</v>
      </c>
      <c r="E60" s="27">
        <v>1075.93</v>
      </c>
      <c r="F60" s="27">
        <v>780.311</v>
      </c>
      <c r="G60" s="27">
        <v>711.028</v>
      </c>
      <c r="H60" s="27">
        <v>547.594</v>
      </c>
      <c r="I60" s="27">
        <v>475.974</v>
      </c>
      <c r="J60" s="27">
        <v>605.446</v>
      </c>
      <c r="K60" s="27">
        <v>406.749</v>
      </c>
      <c r="L60" s="28">
        <v>504.548</v>
      </c>
      <c r="M60" s="63">
        <f t="shared" si="13"/>
        <v>661.2031</v>
      </c>
      <c r="N60" s="30">
        <f t="shared" si="14"/>
        <v>1075.93</v>
      </c>
      <c r="O60" s="31">
        <f t="shared" si="15"/>
        <v>835.7929</v>
      </c>
      <c r="P60" s="45"/>
      <c r="R60" s="45"/>
      <c r="T60" s="45"/>
      <c r="V60" s="45"/>
    </row>
    <row r="61">
      <c r="A61" s="75" t="s">
        <v>20</v>
      </c>
      <c r="B61" s="76" t="s">
        <v>17</v>
      </c>
      <c r="C61" s="84">
        <v>1810.0</v>
      </c>
      <c r="D61" s="85">
        <v>1050.0</v>
      </c>
      <c r="E61" s="85">
        <v>2540.0</v>
      </c>
      <c r="F61" s="85">
        <v>2970.0</v>
      </c>
      <c r="G61" s="85">
        <v>870.0</v>
      </c>
      <c r="H61" s="85">
        <v>730.0</v>
      </c>
      <c r="I61" s="85">
        <v>760.0</v>
      </c>
      <c r="J61" s="85">
        <v>1020.0</v>
      </c>
      <c r="K61" s="85">
        <v>940.0</v>
      </c>
      <c r="L61" s="86">
        <v>1000.0</v>
      </c>
      <c r="M61" s="90">
        <f t="shared" si="13"/>
        <v>1369</v>
      </c>
      <c r="N61" s="88">
        <f t="shared" si="14"/>
        <v>2970</v>
      </c>
      <c r="O61" s="89">
        <f t="shared" si="15"/>
        <v>2583</v>
      </c>
      <c r="P61" s="45"/>
      <c r="R61" s="45"/>
      <c r="T61" s="45"/>
      <c r="V61" s="45"/>
    </row>
    <row r="62">
      <c r="A62" s="32"/>
      <c r="B62" s="91" t="s">
        <v>18</v>
      </c>
      <c r="C62" s="84">
        <v>1822.2</v>
      </c>
      <c r="D62" s="85">
        <v>1051.49</v>
      </c>
      <c r="E62" s="85">
        <v>2536.6</v>
      </c>
      <c r="F62" s="85">
        <v>2973.76</v>
      </c>
      <c r="G62" s="85">
        <v>872.026</v>
      </c>
      <c r="H62" s="85">
        <v>726.117</v>
      </c>
      <c r="I62" s="85">
        <v>756.35</v>
      </c>
      <c r="J62" s="85">
        <v>1023.45</v>
      </c>
      <c r="K62" s="85">
        <v>944.07</v>
      </c>
      <c r="L62" s="86">
        <v>1007.67</v>
      </c>
      <c r="M62" s="87">
        <f t="shared" si="13"/>
        <v>1371.3733</v>
      </c>
      <c r="N62" s="88">
        <f t="shared" si="14"/>
        <v>2973.76</v>
      </c>
      <c r="O62" s="89">
        <f t="shared" si="15"/>
        <v>2580.316</v>
      </c>
      <c r="P62" s="45"/>
      <c r="R62" s="45"/>
      <c r="T62" s="45"/>
      <c r="V62" s="45"/>
    </row>
    <row r="63">
      <c r="A63" s="25" t="s">
        <v>21</v>
      </c>
      <c r="B63" s="5" t="s">
        <v>17</v>
      </c>
      <c r="C63" s="26">
        <v>5240.0</v>
      </c>
      <c r="D63" s="27">
        <v>4810.0</v>
      </c>
      <c r="E63" s="27">
        <v>3210.0</v>
      </c>
      <c r="F63" s="27">
        <v>4500.0</v>
      </c>
      <c r="G63" s="27">
        <v>2210.0</v>
      </c>
      <c r="H63" s="27">
        <v>1470.0</v>
      </c>
      <c r="I63" s="27">
        <v>1880.0</v>
      </c>
      <c r="J63" s="27">
        <v>2880.0</v>
      </c>
      <c r="K63" s="27">
        <v>1350.0</v>
      </c>
      <c r="L63" s="28">
        <v>2240.0</v>
      </c>
      <c r="M63" s="29">
        <f t="shared" si="13"/>
        <v>2979</v>
      </c>
      <c r="N63" s="30">
        <f t="shared" si="14"/>
        <v>5240</v>
      </c>
      <c r="O63" s="31">
        <f t="shared" si="15"/>
        <v>4853</v>
      </c>
      <c r="P63" s="45"/>
      <c r="R63" s="45"/>
      <c r="T63" s="45"/>
      <c r="V63" s="45"/>
    </row>
    <row r="64">
      <c r="A64" s="32"/>
      <c r="B64" s="62" t="s">
        <v>18</v>
      </c>
      <c r="C64" s="26">
        <v>5253.17</v>
      </c>
      <c r="D64" s="27">
        <v>4822.36</v>
      </c>
      <c r="E64" s="27">
        <v>3217.67</v>
      </c>
      <c r="F64" s="27">
        <v>4512.84</v>
      </c>
      <c r="G64" s="27">
        <v>2222.6</v>
      </c>
      <c r="H64" s="27">
        <v>1472.92</v>
      </c>
      <c r="I64" s="27">
        <v>1881.48</v>
      </c>
      <c r="J64" s="27">
        <v>2886.01</v>
      </c>
      <c r="K64" s="27">
        <v>1344.19</v>
      </c>
      <c r="L64" s="28">
        <v>2247.86</v>
      </c>
      <c r="M64" s="63">
        <f t="shared" si="13"/>
        <v>2986.11</v>
      </c>
      <c r="N64" s="30">
        <f t="shared" si="14"/>
        <v>5253.17</v>
      </c>
      <c r="O64" s="31">
        <f t="shared" si="15"/>
        <v>4865.441</v>
      </c>
      <c r="P64" s="45"/>
      <c r="R64" s="45"/>
      <c r="T64" s="45"/>
      <c r="V64" s="45"/>
    </row>
    <row r="65">
      <c r="A65" s="75" t="s">
        <v>22</v>
      </c>
      <c r="B65" s="76" t="s">
        <v>17</v>
      </c>
      <c r="C65" s="84">
        <v>6190.0</v>
      </c>
      <c r="D65" s="85">
        <v>7530.0</v>
      </c>
      <c r="E65" s="85">
        <v>4100.0</v>
      </c>
      <c r="F65" s="85">
        <v>8010.0</v>
      </c>
      <c r="G65" s="85">
        <v>2720.0</v>
      </c>
      <c r="H65" s="85">
        <v>2590.0</v>
      </c>
      <c r="I65" s="85">
        <v>5860.0</v>
      </c>
      <c r="J65" s="85">
        <v>4100.0</v>
      </c>
      <c r="K65" s="85">
        <v>3240.0</v>
      </c>
      <c r="L65" s="86">
        <v>4860.0</v>
      </c>
      <c r="M65" s="90">
        <f t="shared" si="13"/>
        <v>4920</v>
      </c>
      <c r="N65" s="88">
        <f t="shared" si="14"/>
        <v>8010</v>
      </c>
      <c r="O65" s="89">
        <f t="shared" si="15"/>
        <v>7578</v>
      </c>
      <c r="P65" s="45"/>
      <c r="R65" s="45"/>
      <c r="T65" s="45"/>
      <c r="V65" s="45"/>
    </row>
    <row r="66">
      <c r="A66" s="32"/>
      <c r="B66" s="92" t="s">
        <v>18</v>
      </c>
      <c r="C66" s="93">
        <v>6200.58</v>
      </c>
      <c r="D66" s="94">
        <v>7546.29</v>
      </c>
      <c r="E66" s="94">
        <v>4106.41</v>
      </c>
      <c r="F66" s="94">
        <v>8022.89</v>
      </c>
      <c r="G66" s="94">
        <v>2715.89</v>
      </c>
      <c r="H66" s="94">
        <v>2596.47</v>
      </c>
      <c r="I66" s="94">
        <v>5872.39</v>
      </c>
      <c r="J66" s="94">
        <v>4103.72</v>
      </c>
      <c r="K66" s="94">
        <v>3235.63</v>
      </c>
      <c r="L66" s="95">
        <v>4874.03</v>
      </c>
      <c r="M66" s="96">
        <f t="shared" si="13"/>
        <v>4927.43</v>
      </c>
      <c r="N66" s="97">
        <f t="shared" si="14"/>
        <v>8022.89</v>
      </c>
      <c r="O66" s="98">
        <f t="shared" si="15"/>
        <v>7593.95</v>
      </c>
      <c r="P66" s="45"/>
      <c r="R66" s="45"/>
      <c r="T66" s="45"/>
      <c r="V66" s="45"/>
    </row>
    <row r="67">
      <c r="O67" s="41"/>
      <c r="P67" s="45"/>
      <c r="R67" s="45"/>
      <c r="T67" s="45"/>
      <c r="V67" s="45"/>
    </row>
    <row r="68">
      <c r="A68" s="1" t="s">
        <v>28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5"/>
      <c r="R68" s="45"/>
      <c r="T68" s="45"/>
      <c r="V68" s="45"/>
    </row>
    <row r="69">
      <c r="A69" s="4" t="s">
        <v>1</v>
      </c>
      <c r="B69" s="4" t="s">
        <v>2</v>
      </c>
      <c r="C69" s="6" t="s">
        <v>3</v>
      </c>
      <c r="D69" s="6" t="s">
        <v>4</v>
      </c>
      <c r="E69" s="6" t="s">
        <v>5</v>
      </c>
      <c r="F69" s="6" t="s">
        <v>6</v>
      </c>
      <c r="G69" s="6" t="s">
        <v>7</v>
      </c>
      <c r="H69" s="6" t="s">
        <v>8</v>
      </c>
      <c r="I69" s="6" t="s">
        <v>9</v>
      </c>
      <c r="J69" s="6" t="s">
        <v>10</v>
      </c>
      <c r="K69" s="6" t="s">
        <v>11</v>
      </c>
      <c r="L69" s="6" t="s">
        <v>12</v>
      </c>
      <c r="M69" s="7" t="s">
        <v>13</v>
      </c>
      <c r="N69" s="7" t="s">
        <v>14</v>
      </c>
      <c r="O69" s="8" t="s">
        <v>15</v>
      </c>
      <c r="P69" s="45"/>
      <c r="R69" s="45"/>
      <c r="T69" s="45"/>
      <c r="V69" s="45"/>
    </row>
    <row r="70">
      <c r="A70" s="75" t="s">
        <v>16</v>
      </c>
      <c r="B70" s="76" t="s">
        <v>17</v>
      </c>
      <c r="C70" s="77">
        <v>160.0</v>
      </c>
      <c r="D70" s="78">
        <v>190.0</v>
      </c>
      <c r="E70" s="78">
        <v>160.0</v>
      </c>
      <c r="F70" s="78">
        <v>190.0</v>
      </c>
      <c r="G70" s="78">
        <v>120.0</v>
      </c>
      <c r="H70" s="78">
        <v>170.0</v>
      </c>
      <c r="I70" s="78">
        <v>180.0</v>
      </c>
      <c r="J70" s="78">
        <v>130.0</v>
      </c>
      <c r="K70" s="78">
        <v>130.0</v>
      </c>
      <c r="L70" s="79">
        <v>230.0</v>
      </c>
      <c r="M70" s="80">
        <f t="shared" ref="M70:M79" si="16">AVERAGE(C70:L70)</f>
        <v>166</v>
      </c>
      <c r="N70" s="81">
        <f t="shared" ref="N70:N79" si="17">MAX(C70:L70)</f>
        <v>230</v>
      </c>
      <c r="O70" s="82">
        <f t="shared" ref="O70:O79" si="18">_xlfn.PERCENTILE.INC(C70:L70, 0.9)</f>
        <v>194</v>
      </c>
      <c r="P70" s="45"/>
      <c r="R70" s="45"/>
      <c r="T70" s="45"/>
      <c r="V70" s="45"/>
    </row>
    <row r="71">
      <c r="A71" s="32"/>
      <c r="B71" s="83" t="s">
        <v>18</v>
      </c>
      <c r="C71" s="84">
        <v>159.437</v>
      </c>
      <c r="D71" s="85">
        <v>195.418</v>
      </c>
      <c r="E71" s="85">
        <v>158.052</v>
      </c>
      <c r="F71" s="85">
        <v>186.852</v>
      </c>
      <c r="G71" s="85">
        <v>130.116</v>
      </c>
      <c r="H71" s="85">
        <v>157.039</v>
      </c>
      <c r="I71" s="85">
        <v>182.265</v>
      </c>
      <c r="J71" s="85">
        <v>128.868</v>
      </c>
      <c r="K71" s="85">
        <v>128.573</v>
      </c>
      <c r="L71" s="86">
        <v>229.823</v>
      </c>
      <c r="M71" s="87">
        <f t="shared" si="16"/>
        <v>165.6443</v>
      </c>
      <c r="N71" s="88">
        <f t="shared" si="17"/>
        <v>229.823</v>
      </c>
      <c r="O71" s="89">
        <f t="shared" si="18"/>
        <v>198.8585</v>
      </c>
      <c r="P71" s="45"/>
      <c r="R71" s="45"/>
      <c r="T71" s="45"/>
      <c r="V71" s="45"/>
    </row>
    <row r="72">
      <c r="A72" s="25" t="s">
        <v>19</v>
      </c>
      <c r="B72" s="5" t="s">
        <v>17</v>
      </c>
      <c r="C72" s="26">
        <v>380.0</v>
      </c>
      <c r="D72" s="27">
        <v>410.0</v>
      </c>
      <c r="E72" s="27">
        <v>300.0</v>
      </c>
      <c r="F72" s="27">
        <v>350.0</v>
      </c>
      <c r="G72" s="27">
        <v>400.0</v>
      </c>
      <c r="H72" s="27">
        <v>340.0</v>
      </c>
      <c r="I72" s="27">
        <v>340.0</v>
      </c>
      <c r="J72" s="27">
        <v>240.0</v>
      </c>
      <c r="K72" s="27">
        <v>320.0</v>
      </c>
      <c r="L72" s="28">
        <v>330.0</v>
      </c>
      <c r="M72" s="29">
        <f t="shared" si="16"/>
        <v>341</v>
      </c>
      <c r="N72" s="30">
        <f t="shared" si="17"/>
        <v>410</v>
      </c>
      <c r="O72" s="31">
        <f t="shared" si="18"/>
        <v>401</v>
      </c>
      <c r="P72" s="45"/>
      <c r="R72" s="45"/>
      <c r="T72" s="45"/>
      <c r="V72" s="45"/>
    </row>
    <row r="73">
      <c r="A73" s="32"/>
      <c r="B73" s="62" t="s">
        <v>18</v>
      </c>
      <c r="C73" s="26">
        <v>379.192</v>
      </c>
      <c r="D73" s="27">
        <v>414.791</v>
      </c>
      <c r="E73" s="27">
        <v>287.712</v>
      </c>
      <c r="F73" s="27">
        <v>359.996</v>
      </c>
      <c r="G73" s="27">
        <v>408.031</v>
      </c>
      <c r="H73" s="27">
        <v>340.406</v>
      </c>
      <c r="I73" s="27">
        <v>333.629</v>
      </c>
      <c r="J73" s="27">
        <v>244.657</v>
      </c>
      <c r="K73" s="27">
        <v>323.462</v>
      </c>
      <c r="L73" s="28">
        <v>335.194</v>
      </c>
      <c r="M73" s="63">
        <f t="shared" si="16"/>
        <v>342.707</v>
      </c>
      <c r="N73" s="30">
        <f t="shared" si="17"/>
        <v>414.791</v>
      </c>
      <c r="O73" s="31">
        <f t="shared" si="18"/>
        <v>408.707</v>
      </c>
      <c r="P73" s="45"/>
      <c r="R73" s="45"/>
      <c r="T73" s="45"/>
      <c r="V73" s="45"/>
    </row>
    <row r="74">
      <c r="A74" s="75" t="s">
        <v>20</v>
      </c>
      <c r="B74" s="76" t="s">
        <v>17</v>
      </c>
      <c r="C74" s="84">
        <v>780.0</v>
      </c>
      <c r="D74" s="85">
        <v>620.0</v>
      </c>
      <c r="E74" s="85">
        <v>490.0</v>
      </c>
      <c r="F74" s="85">
        <v>530.0</v>
      </c>
      <c r="G74" s="85">
        <v>630.0</v>
      </c>
      <c r="H74" s="85">
        <v>530.0</v>
      </c>
      <c r="I74" s="85">
        <v>730.0</v>
      </c>
      <c r="J74" s="85">
        <v>560.0</v>
      </c>
      <c r="K74" s="85">
        <v>540.0</v>
      </c>
      <c r="L74" s="86">
        <v>550.0</v>
      </c>
      <c r="M74" s="90">
        <f t="shared" si="16"/>
        <v>596</v>
      </c>
      <c r="N74" s="88">
        <f t="shared" si="17"/>
        <v>780</v>
      </c>
      <c r="O74" s="89">
        <f t="shared" si="18"/>
        <v>735</v>
      </c>
      <c r="P74" s="45"/>
      <c r="R74" s="45"/>
      <c r="T74" s="45"/>
      <c r="V74" s="45"/>
    </row>
    <row r="75">
      <c r="A75" s="32"/>
      <c r="B75" s="91" t="s">
        <v>18</v>
      </c>
      <c r="C75" s="84">
        <v>781.899</v>
      </c>
      <c r="D75" s="85">
        <v>617.289</v>
      </c>
      <c r="E75" s="85">
        <v>495.632</v>
      </c>
      <c r="F75" s="85">
        <v>525.045</v>
      </c>
      <c r="G75" s="85">
        <v>631.973</v>
      </c>
      <c r="H75" s="85">
        <v>542.644</v>
      </c>
      <c r="I75" s="85">
        <v>732.567</v>
      </c>
      <c r="J75" s="85">
        <v>558.424</v>
      </c>
      <c r="K75" s="85">
        <v>539.942</v>
      </c>
      <c r="L75" s="86">
        <v>562.695</v>
      </c>
      <c r="M75" s="87">
        <f t="shared" si="16"/>
        <v>598.811</v>
      </c>
      <c r="N75" s="88">
        <f t="shared" si="17"/>
        <v>781.899</v>
      </c>
      <c r="O75" s="89">
        <f t="shared" si="18"/>
        <v>737.5002</v>
      </c>
      <c r="P75" s="45"/>
      <c r="R75" s="45"/>
      <c r="T75" s="45"/>
      <c r="V75" s="45"/>
    </row>
    <row r="76">
      <c r="A76" s="25" t="s">
        <v>21</v>
      </c>
      <c r="B76" s="5" t="s">
        <v>17</v>
      </c>
      <c r="C76" s="26">
        <v>860.0</v>
      </c>
      <c r="D76" s="27">
        <v>970.0</v>
      </c>
      <c r="E76" s="27">
        <v>1170.0</v>
      </c>
      <c r="F76" s="27">
        <v>1280.0</v>
      </c>
      <c r="G76" s="27">
        <v>1400.0</v>
      </c>
      <c r="H76" s="27">
        <v>1090.0</v>
      </c>
      <c r="I76" s="27">
        <v>1090.0</v>
      </c>
      <c r="J76" s="27">
        <v>1280.0</v>
      </c>
      <c r="K76" s="27">
        <v>1210.0</v>
      </c>
      <c r="L76" s="28">
        <v>1190.0</v>
      </c>
      <c r="M76" s="29">
        <f t="shared" si="16"/>
        <v>1154</v>
      </c>
      <c r="N76" s="30">
        <f t="shared" si="17"/>
        <v>1400</v>
      </c>
      <c r="O76" s="31">
        <f t="shared" si="18"/>
        <v>1292</v>
      </c>
      <c r="P76" s="45"/>
      <c r="R76" s="45"/>
      <c r="T76" s="45"/>
      <c r="V76" s="45"/>
    </row>
    <row r="77">
      <c r="A77" s="32"/>
      <c r="B77" s="62" t="s">
        <v>18</v>
      </c>
      <c r="C77" s="26">
        <v>866.714</v>
      </c>
      <c r="D77" s="27">
        <v>964.073</v>
      </c>
      <c r="E77" s="27">
        <v>1178.96</v>
      </c>
      <c r="F77" s="27">
        <v>1290.33</v>
      </c>
      <c r="G77" s="27">
        <v>1408.23</v>
      </c>
      <c r="H77" s="27">
        <v>1100.41</v>
      </c>
      <c r="I77" s="27">
        <v>1091.16</v>
      </c>
      <c r="J77" s="27">
        <v>1279.87</v>
      </c>
      <c r="K77" s="27">
        <v>1219.37</v>
      </c>
      <c r="L77" s="28">
        <v>1196.71</v>
      </c>
      <c r="M77" s="63">
        <f t="shared" si="16"/>
        <v>1159.5827</v>
      </c>
      <c r="N77" s="30">
        <f t="shared" si="17"/>
        <v>1408.23</v>
      </c>
      <c r="O77" s="31">
        <f t="shared" si="18"/>
        <v>1302.12</v>
      </c>
      <c r="P77" s="45"/>
      <c r="R77" s="45"/>
      <c r="T77" s="45"/>
      <c r="V77" s="45"/>
    </row>
    <row r="78">
      <c r="A78" s="75" t="s">
        <v>22</v>
      </c>
      <c r="B78" s="76" t="s">
        <v>17</v>
      </c>
      <c r="C78" s="84">
        <v>2180.0</v>
      </c>
      <c r="D78" s="85">
        <v>2020.0</v>
      </c>
      <c r="E78" s="85">
        <v>1890.0</v>
      </c>
      <c r="F78" s="85">
        <v>2320.0</v>
      </c>
      <c r="G78" s="85">
        <v>2200.0</v>
      </c>
      <c r="H78" s="85">
        <v>2170.0</v>
      </c>
      <c r="I78" s="85">
        <v>1540.0</v>
      </c>
      <c r="J78" s="85">
        <v>1830.0</v>
      </c>
      <c r="K78" s="85">
        <v>2080.0</v>
      </c>
      <c r="L78" s="86">
        <v>2240.0</v>
      </c>
      <c r="M78" s="90">
        <f t="shared" si="16"/>
        <v>2047</v>
      </c>
      <c r="N78" s="88">
        <f t="shared" si="17"/>
        <v>2320</v>
      </c>
      <c r="O78" s="89">
        <f t="shared" si="18"/>
        <v>2248</v>
      </c>
      <c r="P78" s="45"/>
      <c r="R78" s="45"/>
      <c r="T78" s="45"/>
      <c r="V78" s="45"/>
    </row>
    <row r="79">
      <c r="A79" s="32"/>
      <c r="B79" s="92" t="s">
        <v>18</v>
      </c>
      <c r="C79" s="93">
        <v>2188.69</v>
      </c>
      <c r="D79" s="94">
        <v>2023.2</v>
      </c>
      <c r="E79" s="94">
        <v>1889.53</v>
      </c>
      <c r="F79" s="94">
        <v>2310.94</v>
      </c>
      <c r="G79" s="94">
        <v>2197.02</v>
      </c>
      <c r="H79" s="94">
        <v>2173.17</v>
      </c>
      <c r="I79" s="94">
        <v>1539.91</v>
      </c>
      <c r="J79" s="94">
        <v>1838.7</v>
      </c>
      <c r="K79" s="94">
        <v>2081.67</v>
      </c>
      <c r="L79" s="95">
        <v>2257.45</v>
      </c>
      <c r="M79" s="96">
        <f t="shared" si="16"/>
        <v>2050.028</v>
      </c>
      <c r="N79" s="97">
        <f t="shared" si="17"/>
        <v>2310.94</v>
      </c>
      <c r="O79" s="98">
        <f t="shared" si="18"/>
        <v>2262.799</v>
      </c>
      <c r="P79" s="45"/>
      <c r="R79" s="45"/>
      <c r="T79" s="45"/>
      <c r="V79" s="45"/>
    </row>
    <row r="80">
      <c r="M80" s="99"/>
      <c r="O80" s="41"/>
      <c r="P80" s="45"/>
      <c r="R80" s="45"/>
      <c r="T80" s="45"/>
      <c r="V80" s="45"/>
    </row>
    <row r="81">
      <c r="A81" s="74"/>
      <c r="P81" s="45"/>
      <c r="R81" s="45"/>
      <c r="T81" s="45"/>
      <c r="V81" s="45"/>
    </row>
    <row r="82">
      <c r="O82" s="41"/>
      <c r="P82" s="45"/>
      <c r="R82" s="45"/>
      <c r="T82" s="45"/>
      <c r="V82" s="45"/>
    </row>
    <row r="83">
      <c r="A83" s="1" t="s">
        <v>29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5"/>
      <c r="R83" s="45"/>
      <c r="T83" s="45"/>
      <c r="V83" s="45"/>
    </row>
    <row r="84">
      <c r="A84" s="4" t="s">
        <v>1</v>
      </c>
      <c r="B84" s="4" t="s">
        <v>2</v>
      </c>
      <c r="C84" s="6" t="s">
        <v>3</v>
      </c>
      <c r="D84" s="6" t="s">
        <v>4</v>
      </c>
      <c r="E84" s="6" t="s">
        <v>5</v>
      </c>
      <c r="F84" s="6" t="s">
        <v>6</v>
      </c>
      <c r="G84" s="6" t="s">
        <v>7</v>
      </c>
      <c r="H84" s="6" t="s">
        <v>8</v>
      </c>
      <c r="I84" s="6" t="s">
        <v>9</v>
      </c>
      <c r="J84" s="6" t="s">
        <v>10</v>
      </c>
      <c r="K84" s="6" t="s">
        <v>11</v>
      </c>
      <c r="L84" s="6" t="s">
        <v>12</v>
      </c>
      <c r="M84" s="7" t="s">
        <v>13</v>
      </c>
      <c r="N84" s="7" t="s">
        <v>14</v>
      </c>
      <c r="O84" s="8" t="s">
        <v>15</v>
      </c>
      <c r="P84" s="45"/>
      <c r="R84" s="45"/>
      <c r="T84" s="45"/>
      <c r="V84" s="45"/>
    </row>
    <row r="85">
      <c r="A85" s="100" t="s">
        <v>16</v>
      </c>
      <c r="B85" s="101" t="s">
        <v>17</v>
      </c>
      <c r="C85" s="102">
        <v>560.0</v>
      </c>
      <c r="D85" s="102">
        <v>640.0</v>
      </c>
      <c r="E85" s="102">
        <v>420.0</v>
      </c>
      <c r="F85" s="102">
        <v>630.0</v>
      </c>
      <c r="G85" s="102">
        <v>490.0</v>
      </c>
      <c r="H85" s="102">
        <v>510.0</v>
      </c>
      <c r="I85" s="102">
        <v>200.0</v>
      </c>
      <c r="J85" s="102">
        <v>670.0</v>
      </c>
      <c r="K85" s="102">
        <v>610.0</v>
      </c>
      <c r="L85" s="102">
        <v>570.0</v>
      </c>
      <c r="M85" s="103">
        <f t="shared" ref="M85:M94" si="19">AVERAGE(C85:L85)</f>
        <v>530</v>
      </c>
      <c r="N85" s="104">
        <f t="shared" ref="N85:N94" si="20">MAX(C85:L85)</f>
        <v>670</v>
      </c>
      <c r="O85" s="105">
        <f t="shared" ref="O85:O94" si="21">_xlfn.PERCENTILE.INC(C85:L85, 0.9)</f>
        <v>643</v>
      </c>
      <c r="P85" s="45"/>
      <c r="R85" s="45"/>
      <c r="T85" s="45"/>
      <c r="V85" s="45"/>
    </row>
    <row r="86">
      <c r="A86" s="32"/>
      <c r="B86" s="106" t="s">
        <v>18</v>
      </c>
      <c r="C86" s="102">
        <v>557.224</v>
      </c>
      <c r="D86" s="102">
        <v>645.916</v>
      </c>
      <c r="E86" s="102">
        <v>425.563</v>
      </c>
      <c r="F86" s="102">
        <v>631.437</v>
      </c>
      <c r="G86" s="102">
        <v>503.451</v>
      </c>
      <c r="H86" s="102">
        <v>504.345</v>
      </c>
      <c r="I86" s="102">
        <v>201.886</v>
      </c>
      <c r="J86" s="102">
        <v>674.176</v>
      </c>
      <c r="K86" s="102">
        <v>610.667</v>
      </c>
      <c r="L86" s="102">
        <v>574.302</v>
      </c>
      <c r="M86" s="107">
        <f t="shared" si="19"/>
        <v>532.8967</v>
      </c>
      <c r="N86" s="108">
        <f t="shared" si="20"/>
        <v>674.176</v>
      </c>
      <c r="O86" s="109">
        <f t="shared" si="21"/>
        <v>648.742</v>
      </c>
      <c r="P86" s="45"/>
      <c r="R86" s="45"/>
      <c r="T86" s="45"/>
      <c r="V86" s="45"/>
    </row>
    <row r="87">
      <c r="A87" s="25" t="s">
        <v>19</v>
      </c>
      <c r="B87" s="5" t="s">
        <v>17</v>
      </c>
      <c r="C87" s="27">
        <v>370.0</v>
      </c>
      <c r="D87" s="27">
        <v>1010.0</v>
      </c>
      <c r="E87" s="27">
        <v>880.0</v>
      </c>
      <c r="F87" s="27">
        <v>1100.0</v>
      </c>
      <c r="G87" s="27">
        <v>950.0</v>
      </c>
      <c r="H87" s="27">
        <v>1060.0</v>
      </c>
      <c r="I87" s="27">
        <v>1210.0</v>
      </c>
      <c r="J87" s="27">
        <v>1190.0</v>
      </c>
      <c r="K87" s="27">
        <v>1130.0</v>
      </c>
      <c r="L87" s="27">
        <v>420.0</v>
      </c>
      <c r="M87" s="29">
        <f t="shared" si="19"/>
        <v>932</v>
      </c>
      <c r="N87" s="30">
        <f t="shared" si="20"/>
        <v>1210</v>
      </c>
      <c r="O87" s="31">
        <f t="shared" si="21"/>
        <v>1192</v>
      </c>
      <c r="P87" s="45"/>
      <c r="R87" s="45"/>
      <c r="T87" s="45"/>
      <c r="V87" s="45"/>
    </row>
    <row r="88">
      <c r="A88" s="32"/>
      <c r="B88" s="62" t="s">
        <v>18</v>
      </c>
      <c r="C88" s="27">
        <v>357.104</v>
      </c>
      <c r="D88" s="27">
        <v>1017.36</v>
      </c>
      <c r="E88" s="27">
        <v>873.115</v>
      </c>
      <c r="F88" s="27">
        <v>1093.63</v>
      </c>
      <c r="G88" s="27">
        <v>958.54</v>
      </c>
      <c r="H88" s="27">
        <v>1059.38</v>
      </c>
      <c r="I88" s="27">
        <v>1220.2</v>
      </c>
      <c r="J88" s="27">
        <v>1198.9</v>
      </c>
      <c r="K88" s="27">
        <v>1142.27</v>
      </c>
      <c r="L88" s="27">
        <v>433.431</v>
      </c>
      <c r="M88" s="63">
        <f t="shared" si="19"/>
        <v>935.393</v>
      </c>
      <c r="N88" s="30">
        <f t="shared" si="20"/>
        <v>1220.2</v>
      </c>
      <c r="O88" s="31">
        <f t="shared" si="21"/>
        <v>1201.03</v>
      </c>
      <c r="P88" s="45"/>
      <c r="R88" s="45"/>
      <c r="T88" s="45"/>
      <c r="V88" s="45"/>
    </row>
    <row r="89">
      <c r="A89" s="100" t="s">
        <v>20</v>
      </c>
      <c r="B89" s="101" t="s">
        <v>17</v>
      </c>
      <c r="C89" s="102">
        <v>750.0</v>
      </c>
      <c r="D89" s="102">
        <v>1670.0</v>
      </c>
      <c r="E89" s="102">
        <v>2070.0</v>
      </c>
      <c r="F89" s="102">
        <v>1960.0</v>
      </c>
      <c r="G89" s="102">
        <v>2230.0</v>
      </c>
      <c r="H89" s="102">
        <v>1830.0</v>
      </c>
      <c r="I89" s="102">
        <v>740.0</v>
      </c>
      <c r="J89" s="102">
        <v>720.0</v>
      </c>
      <c r="K89" s="102">
        <v>670.0</v>
      </c>
      <c r="L89" s="102">
        <v>1920.0</v>
      </c>
      <c r="M89" s="110">
        <f t="shared" si="19"/>
        <v>1456</v>
      </c>
      <c r="N89" s="108">
        <f t="shared" si="20"/>
        <v>2230</v>
      </c>
      <c r="O89" s="109">
        <f t="shared" si="21"/>
        <v>2086</v>
      </c>
      <c r="P89" s="45"/>
      <c r="R89" s="45"/>
      <c r="T89" s="45"/>
      <c r="V89" s="45"/>
    </row>
    <row r="90">
      <c r="A90" s="32"/>
      <c r="B90" s="111" t="s">
        <v>18</v>
      </c>
      <c r="C90" s="102">
        <v>745.741</v>
      </c>
      <c r="D90" s="102">
        <v>1677.66</v>
      </c>
      <c r="E90" s="102">
        <v>2081.86</v>
      </c>
      <c r="F90" s="102">
        <v>1951.83</v>
      </c>
      <c r="G90" s="102">
        <v>2229.67</v>
      </c>
      <c r="H90" s="102">
        <v>1837.46</v>
      </c>
      <c r="I90" s="102">
        <v>735.592</v>
      </c>
      <c r="J90" s="102">
        <v>710.553</v>
      </c>
      <c r="K90" s="102">
        <v>671.522</v>
      </c>
      <c r="L90" s="102">
        <v>1922.01</v>
      </c>
      <c r="M90" s="107">
        <f t="shared" si="19"/>
        <v>1456.3898</v>
      </c>
      <c r="N90" s="108">
        <f t="shared" si="20"/>
        <v>2229.67</v>
      </c>
      <c r="O90" s="109">
        <f t="shared" si="21"/>
        <v>2096.641</v>
      </c>
      <c r="P90" s="45"/>
      <c r="R90" s="45"/>
      <c r="T90" s="45"/>
      <c r="V90" s="45"/>
    </row>
    <row r="91">
      <c r="A91" s="25" t="s">
        <v>21</v>
      </c>
      <c r="B91" s="5" t="s">
        <v>17</v>
      </c>
      <c r="C91" s="27">
        <v>3800.0</v>
      </c>
      <c r="D91" s="27">
        <v>3560.0</v>
      </c>
      <c r="E91" s="27">
        <v>4100.0</v>
      </c>
      <c r="F91" s="27">
        <v>3650.0</v>
      </c>
      <c r="G91" s="27">
        <v>1050.0</v>
      </c>
      <c r="H91" s="27">
        <v>3100.0</v>
      </c>
      <c r="I91" s="27">
        <v>3610.0</v>
      </c>
      <c r="J91" s="27">
        <v>3400.0</v>
      </c>
      <c r="K91" s="27">
        <v>1260.0</v>
      </c>
      <c r="L91" s="27">
        <v>2590.0</v>
      </c>
      <c r="M91" s="29">
        <f t="shared" si="19"/>
        <v>3012</v>
      </c>
      <c r="N91" s="30">
        <f t="shared" si="20"/>
        <v>4100</v>
      </c>
      <c r="O91" s="31">
        <f t="shared" si="21"/>
        <v>3830</v>
      </c>
      <c r="P91" s="45"/>
      <c r="R91" s="45"/>
      <c r="T91" s="45"/>
      <c r="V91" s="45"/>
    </row>
    <row r="92">
      <c r="A92" s="32"/>
      <c r="B92" s="62" t="s">
        <v>18</v>
      </c>
      <c r="C92" s="27">
        <v>3811.86</v>
      </c>
      <c r="D92" s="27">
        <v>3570.04</v>
      </c>
      <c r="E92" s="27">
        <v>4100.87</v>
      </c>
      <c r="F92" s="27">
        <v>3651.42</v>
      </c>
      <c r="G92" s="27">
        <v>1057.16</v>
      </c>
      <c r="H92" s="27">
        <v>3102.16</v>
      </c>
      <c r="I92" s="27">
        <v>3619.13</v>
      </c>
      <c r="J92" s="27">
        <v>3416.05</v>
      </c>
      <c r="K92" s="27">
        <v>1258.47</v>
      </c>
      <c r="L92" s="27">
        <v>2579.55</v>
      </c>
      <c r="M92" s="63">
        <f t="shared" si="19"/>
        <v>3016.671</v>
      </c>
      <c r="N92" s="30">
        <f t="shared" si="20"/>
        <v>4100.87</v>
      </c>
      <c r="O92" s="31">
        <f t="shared" si="21"/>
        <v>3840.761</v>
      </c>
      <c r="P92" s="45"/>
      <c r="R92" s="45"/>
      <c r="T92" s="45"/>
      <c r="V92" s="45"/>
    </row>
    <row r="93">
      <c r="A93" s="100" t="s">
        <v>22</v>
      </c>
      <c r="B93" s="101" t="s">
        <v>17</v>
      </c>
      <c r="C93" s="102">
        <v>6130.0</v>
      </c>
      <c r="D93" s="102">
        <v>6180.0</v>
      </c>
      <c r="E93" s="102">
        <v>6370.0</v>
      </c>
      <c r="F93" s="102">
        <v>6410.0</v>
      </c>
      <c r="G93" s="102">
        <v>2020.0</v>
      </c>
      <c r="H93" s="102">
        <v>6590.0</v>
      </c>
      <c r="I93" s="102">
        <v>1950.0</v>
      </c>
      <c r="J93" s="102">
        <v>1890.0</v>
      </c>
      <c r="K93" s="102">
        <v>7150.0</v>
      </c>
      <c r="L93" s="102">
        <v>2450.0</v>
      </c>
      <c r="M93" s="110">
        <f t="shared" si="19"/>
        <v>4714</v>
      </c>
      <c r="N93" s="108">
        <f t="shared" si="20"/>
        <v>7150</v>
      </c>
      <c r="O93" s="109">
        <f t="shared" si="21"/>
        <v>6646</v>
      </c>
      <c r="P93" s="45"/>
      <c r="R93" s="45"/>
      <c r="T93" s="45"/>
      <c r="V93" s="45"/>
    </row>
    <row r="94">
      <c r="A94" s="32"/>
      <c r="B94" s="112" t="s">
        <v>18</v>
      </c>
      <c r="C94" s="113">
        <v>6146.33</v>
      </c>
      <c r="D94" s="113">
        <v>6191.42</v>
      </c>
      <c r="E94" s="113">
        <v>6378.43</v>
      </c>
      <c r="F94" s="113">
        <v>6419.35</v>
      </c>
      <c r="G94" s="113">
        <v>2035.82</v>
      </c>
      <c r="H94" s="113">
        <v>6600.56</v>
      </c>
      <c r="I94" s="113">
        <v>1951.83</v>
      </c>
      <c r="J94" s="113">
        <v>1905.72</v>
      </c>
      <c r="K94" s="113">
        <v>7159.64</v>
      </c>
      <c r="L94" s="113">
        <v>2452.07</v>
      </c>
      <c r="M94" s="114">
        <f t="shared" si="19"/>
        <v>4724.117</v>
      </c>
      <c r="N94" s="115">
        <f t="shared" si="20"/>
        <v>7159.64</v>
      </c>
      <c r="O94" s="116">
        <f t="shared" si="21"/>
        <v>6656.468</v>
      </c>
      <c r="P94" s="45"/>
      <c r="R94" s="45"/>
      <c r="T94" s="45"/>
      <c r="V94" s="45"/>
    </row>
    <row r="95">
      <c r="O95" s="41"/>
      <c r="P95" s="45"/>
      <c r="R95" s="45"/>
      <c r="T95" s="45"/>
      <c r="V95" s="45"/>
    </row>
    <row r="96">
      <c r="A96" s="1" t="s">
        <v>30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5"/>
      <c r="R96" s="45"/>
      <c r="T96" s="45"/>
      <c r="V96" s="45"/>
    </row>
    <row r="97">
      <c r="A97" s="4" t="s">
        <v>1</v>
      </c>
      <c r="B97" s="4" t="s">
        <v>2</v>
      </c>
      <c r="C97" s="6" t="s">
        <v>3</v>
      </c>
      <c r="D97" s="6" t="s">
        <v>4</v>
      </c>
      <c r="E97" s="6" t="s">
        <v>5</v>
      </c>
      <c r="F97" s="6" t="s">
        <v>6</v>
      </c>
      <c r="G97" s="6" t="s">
        <v>7</v>
      </c>
      <c r="H97" s="6" t="s">
        <v>8</v>
      </c>
      <c r="I97" s="6" t="s">
        <v>9</v>
      </c>
      <c r="J97" s="6" t="s">
        <v>10</v>
      </c>
      <c r="K97" s="6" t="s">
        <v>11</v>
      </c>
      <c r="L97" s="6" t="s">
        <v>12</v>
      </c>
      <c r="M97" s="7" t="s">
        <v>13</v>
      </c>
      <c r="N97" s="7" t="s">
        <v>14</v>
      </c>
      <c r="O97" s="8" t="s">
        <v>15</v>
      </c>
      <c r="P97" s="45"/>
      <c r="R97" s="45"/>
      <c r="T97" s="45"/>
      <c r="V97" s="45"/>
    </row>
    <row r="98">
      <c r="A98" s="100" t="s">
        <v>16</v>
      </c>
      <c r="B98" s="101" t="s">
        <v>17</v>
      </c>
      <c r="C98" s="117">
        <v>580.0</v>
      </c>
      <c r="D98" s="118">
        <v>290.0</v>
      </c>
      <c r="E98" s="118">
        <v>810.0</v>
      </c>
      <c r="F98" s="118">
        <v>240.0</v>
      </c>
      <c r="G98" s="118">
        <v>870.0</v>
      </c>
      <c r="H98" s="118">
        <v>920.0</v>
      </c>
      <c r="I98" s="118">
        <v>160.0</v>
      </c>
      <c r="J98" s="118">
        <v>350.0</v>
      </c>
      <c r="K98" s="118">
        <v>1160.0</v>
      </c>
      <c r="L98" s="119">
        <v>1090.0</v>
      </c>
      <c r="M98" s="103">
        <f t="shared" ref="M98:M107" si="22">AVERAGE(C98:L98)</f>
        <v>647</v>
      </c>
      <c r="N98" s="104">
        <f t="shared" ref="N98:N107" si="23">MAX(C98:L98)</f>
        <v>1160</v>
      </c>
      <c r="O98" s="105">
        <f t="shared" ref="O98:O107" si="24">_xlfn.PERCENTILE.INC(C98:L98, 0.9)</f>
        <v>1097</v>
      </c>
      <c r="P98" s="45"/>
      <c r="R98" s="45"/>
      <c r="T98" s="45"/>
      <c r="V98" s="45"/>
    </row>
    <row r="99">
      <c r="A99" s="32"/>
      <c r="B99" s="106" t="s">
        <v>18</v>
      </c>
      <c r="C99" s="120">
        <v>722.96</v>
      </c>
      <c r="D99" s="102">
        <v>295.418</v>
      </c>
      <c r="E99" s="102">
        <v>807.835</v>
      </c>
      <c r="F99" s="102">
        <v>242.125</v>
      </c>
      <c r="G99" s="102">
        <v>867.14</v>
      </c>
      <c r="H99" s="102">
        <v>1384.91</v>
      </c>
      <c r="I99" s="102">
        <v>165.056</v>
      </c>
      <c r="J99" s="102">
        <v>356.304</v>
      </c>
      <c r="K99" s="102">
        <v>1230.6</v>
      </c>
      <c r="L99" s="121">
        <v>1126.88</v>
      </c>
      <c r="M99" s="107">
        <f t="shared" si="22"/>
        <v>719.9228</v>
      </c>
      <c r="N99" s="108">
        <f t="shared" si="23"/>
        <v>1384.91</v>
      </c>
      <c r="O99" s="109">
        <f t="shared" si="24"/>
        <v>1246.031</v>
      </c>
      <c r="P99" s="45"/>
      <c r="R99" s="45"/>
      <c r="T99" s="45"/>
      <c r="V99" s="45"/>
    </row>
    <row r="100">
      <c r="A100" s="25" t="s">
        <v>19</v>
      </c>
      <c r="B100" s="5" t="s">
        <v>17</v>
      </c>
      <c r="C100" s="26">
        <v>1200.0</v>
      </c>
      <c r="D100" s="27">
        <v>500.0</v>
      </c>
      <c r="E100" s="27">
        <v>1590.0</v>
      </c>
      <c r="F100" s="27">
        <v>310.0</v>
      </c>
      <c r="G100" s="27">
        <v>1110.0</v>
      </c>
      <c r="H100" s="27">
        <v>2410.0</v>
      </c>
      <c r="I100" s="27">
        <v>570.0</v>
      </c>
      <c r="J100" s="27">
        <v>840.0</v>
      </c>
      <c r="K100" s="27">
        <v>860.0</v>
      </c>
      <c r="L100" s="28">
        <v>970.0</v>
      </c>
      <c r="M100" s="29">
        <f t="shared" si="22"/>
        <v>1036</v>
      </c>
      <c r="N100" s="30">
        <f t="shared" si="23"/>
        <v>2410</v>
      </c>
      <c r="O100" s="31">
        <f t="shared" si="24"/>
        <v>1672</v>
      </c>
      <c r="P100" s="45"/>
      <c r="R100" s="45"/>
      <c r="T100" s="45"/>
      <c r="V100" s="45"/>
    </row>
    <row r="101">
      <c r="A101" s="32"/>
      <c r="B101" s="62" t="s">
        <v>18</v>
      </c>
      <c r="C101" s="26">
        <v>1238.71</v>
      </c>
      <c r="D101" s="27">
        <v>501.619</v>
      </c>
      <c r="E101" s="27">
        <v>1603.38</v>
      </c>
      <c r="F101" s="27">
        <v>314.391</v>
      </c>
      <c r="G101" s="27">
        <v>1109.65</v>
      </c>
      <c r="H101" s="27">
        <v>3719.18</v>
      </c>
      <c r="I101" s="27">
        <v>568.751</v>
      </c>
      <c r="J101" s="27">
        <v>1129.07</v>
      </c>
      <c r="K101" s="27">
        <v>1626.51</v>
      </c>
      <c r="L101" s="28">
        <v>1958.93</v>
      </c>
      <c r="M101" s="63">
        <f t="shared" si="22"/>
        <v>1377.0191</v>
      </c>
      <c r="N101" s="30">
        <f t="shared" si="23"/>
        <v>3719.18</v>
      </c>
      <c r="O101" s="31">
        <f t="shared" si="24"/>
        <v>2134.955</v>
      </c>
      <c r="P101" s="45"/>
      <c r="R101" s="45"/>
      <c r="T101" s="45"/>
      <c r="V101" s="45"/>
    </row>
    <row r="102">
      <c r="A102" s="100" t="s">
        <v>20</v>
      </c>
      <c r="B102" s="101" t="s">
        <v>17</v>
      </c>
      <c r="C102" s="120">
        <v>1240.0</v>
      </c>
      <c r="D102" s="102">
        <v>1600.0</v>
      </c>
      <c r="E102" s="102">
        <v>4250.0</v>
      </c>
      <c r="F102" s="102">
        <v>1240.0</v>
      </c>
      <c r="G102" s="102">
        <v>2300.0</v>
      </c>
      <c r="H102" s="102">
        <v>4390.0</v>
      </c>
      <c r="I102" s="102">
        <v>4940.0</v>
      </c>
      <c r="J102" s="102">
        <v>1100.0</v>
      </c>
      <c r="K102" s="102">
        <v>880.0</v>
      </c>
      <c r="L102" s="121">
        <v>1410.0</v>
      </c>
      <c r="M102" s="110">
        <f t="shared" si="22"/>
        <v>2335</v>
      </c>
      <c r="N102" s="108">
        <f t="shared" si="23"/>
        <v>4940</v>
      </c>
      <c r="O102" s="109">
        <f t="shared" si="24"/>
        <v>4445</v>
      </c>
      <c r="P102" s="45"/>
      <c r="R102" s="45"/>
      <c r="T102" s="45"/>
      <c r="V102" s="45"/>
    </row>
    <row r="103">
      <c r="A103" s="32"/>
      <c r="B103" s="111" t="s">
        <v>18</v>
      </c>
      <c r="C103" s="120">
        <v>1247.98</v>
      </c>
      <c r="D103" s="102">
        <v>1598.94</v>
      </c>
      <c r="E103" s="102">
        <v>4258.96</v>
      </c>
      <c r="F103" s="102">
        <v>1246.63</v>
      </c>
      <c r="G103" s="102">
        <v>2322.17</v>
      </c>
      <c r="H103" s="102">
        <v>4398.89</v>
      </c>
      <c r="I103" s="102">
        <v>7107.47</v>
      </c>
      <c r="J103" s="102">
        <v>1098.62</v>
      </c>
      <c r="K103" s="102">
        <v>879.817</v>
      </c>
      <c r="L103" s="121">
        <v>1409.9</v>
      </c>
      <c r="M103" s="107">
        <f t="shared" si="22"/>
        <v>2556.9377</v>
      </c>
      <c r="N103" s="108">
        <f t="shared" si="23"/>
        <v>7107.47</v>
      </c>
      <c r="O103" s="109">
        <f t="shared" si="24"/>
        <v>4669.748</v>
      </c>
      <c r="P103" s="45"/>
      <c r="R103" s="45"/>
      <c r="T103" s="45"/>
      <c r="V103" s="45"/>
    </row>
    <row r="104">
      <c r="A104" s="25" t="s">
        <v>21</v>
      </c>
      <c r="B104" s="5" t="s">
        <v>17</v>
      </c>
      <c r="C104" s="26">
        <v>3330.0</v>
      </c>
      <c r="D104" s="27">
        <v>3070.0</v>
      </c>
      <c r="E104" s="27">
        <v>3180.0</v>
      </c>
      <c r="F104" s="27">
        <v>3180.0</v>
      </c>
      <c r="G104" s="27">
        <v>2360.0</v>
      </c>
      <c r="H104" s="27">
        <v>2750.0</v>
      </c>
      <c r="I104" s="27">
        <v>4900.0</v>
      </c>
      <c r="J104" s="27">
        <v>2610.0</v>
      </c>
      <c r="K104" s="27">
        <v>3480.0</v>
      </c>
      <c r="L104" s="28">
        <v>3550.0</v>
      </c>
      <c r="M104" s="29">
        <f t="shared" si="22"/>
        <v>3241</v>
      </c>
      <c r="N104" s="30">
        <f t="shared" si="23"/>
        <v>4900</v>
      </c>
      <c r="O104" s="31">
        <f t="shared" si="24"/>
        <v>3685</v>
      </c>
      <c r="P104" s="45"/>
      <c r="R104" s="45"/>
      <c r="T104" s="45"/>
      <c r="V104" s="45"/>
    </row>
    <row r="105">
      <c r="A105" s="32"/>
      <c r="B105" s="62" t="s">
        <v>18</v>
      </c>
      <c r="C105" s="26">
        <v>3715.9</v>
      </c>
      <c r="D105" s="27">
        <v>3151.09</v>
      </c>
      <c r="E105" s="27">
        <v>3213.39</v>
      </c>
      <c r="F105" s="27">
        <v>3766.03</v>
      </c>
      <c r="G105" s="27">
        <v>2421.81</v>
      </c>
      <c r="H105" s="27">
        <v>2757.7</v>
      </c>
      <c r="I105" s="27">
        <v>6649.93</v>
      </c>
      <c r="J105" s="27">
        <v>2649.39</v>
      </c>
      <c r="K105" s="27">
        <v>7058.54</v>
      </c>
      <c r="L105" s="28">
        <v>5863.84</v>
      </c>
      <c r="M105" s="63">
        <f t="shared" si="22"/>
        <v>4124.762</v>
      </c>
      <c r="N105" s="30">
        <f t="shared" si="23"/>
        <v>7058.54</v>
      </c>
      <c r="O105" s="31">
        <f t="shared" si="24"/>
        <v>6690.791</v>
      </c>
      <c r="P105" s="45"/>
      <c r="R105" s="45"/>
      <c r="T105" s="45"/>
      <c r="V105" s="45"/>
    </row>
    <row r="106">
      <c r="A106" s="100" t="s">
        <v>22</v>
      </c>
      <c r="B106" s="101" t="s">
        <v>17</v>
      </c>
      <c r="C106" s="120">
        <v>4550.0</v>
      </c>
      <c r="D106" s="102">
        <v>2990.0</v>
      </c>
      <c r="E106" s="102">
        <v>5960.0</v>
      </c>
      <c r="F106" s="102">
        <v>6900.0</v>
      </c>
      <c r="G106" s="102">
        <v>7680.0</v>
      </c>
      <c r="H106" s="102">
        <v>4090.0</v>
      </c>
      <c r="I106" s="102">
        <v>8200.0</v>
      </c>
      <c r="J106" s="102">
        <v>5960.0</v>
      </c>
      <c r="K106" s="102">
        <v>5950.0</v>
      </c>
      <c r="L106" s="121">
        <v>4770.0</v>
      </c>
      <c r="M106" s="110">
        <f t="shared" si="22"/>
        <v>5705</v>
      </c>
      <c r="N106" s="108">
        <f t="shared" si="23"/>
        <v>8200</v>
      </c>
      <c r="O106" s="109">
        <f t="shared" si="24"/>
        <v>7732</v>
      </c>
      <c r="P106" s="45"/>
      <c r="R106" s="45"/>
      <c r="T106" s="45"/>
      <c r="V106" s="45"/>
    </row>
    <row r="107">
      <c r="A107" s="32"/>
      <c r="B107" s="112" t="s">
        <v>18</v>
      </c>
      <c r="C107" s="122">
        <v>4571.49</v>
      </c>
      <c r="D107" s="113">
        <v>2985.7</v>
      </c>
      <c r="E107" s="113">
        <v>5965.54</v>
      </c>
      <c r="F107" s="113">
        <v>9059.76</v>
      </c>
      <c r="G107" s="113">
        <v>7968.17</v>
      </c>
      <c r="H107" s="113">
        <v>4086.47</v>
      </c>
      <c r="I107" s="113">
        <v>9006.51</v>
      </c>
      <c r="J107" s="113">
        <v>6263.89</v>
      </c>
      <c r="K107" s="113">
        <v>6651.7</v>
      </c>
      <c r="L107" s="123">
        <v>4832.45</v>
      </c>
      <c r="M107" s="114">
        <f t="shared" si="22"/>
        <v>6139.168</v>
      </c>
      <c r="N107" s="115">
        <f t="shared" si="23"/>
        <v>9059.76</v>
      </c>
      <c r="O107" s="116">
        <f t="shared" si="24"/>
        <v>9011.835</v>
      </c>
      <c r="P107" s="45"/>
      <c r="R107" s="45"/>
      <c r="T107" s="45"/>
      <c r="V107" s="45"/>
    </row>
    <row r="108">
      <c r="O108" s="41"/>
      <c r="P108" s="45"/>
      <c r="R108" s="45"/>
      <c r="T108" s="45"/>
      <c r="V108" s="45"/>
    </row>
    <row r="109">
      <c r="A109" s="1" t="s">
        <v>31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45"/>
      <c r="R109" s="45"/>
      <c r="T109" s="45"/>
      <c r="V109" s="45"/>
    </row>
    <row r="110">
      <c r="A110" s="4" t="s">
        <v>1</v>
      </c>
      <c r="B110" s="4" t="s">
        <v>2</v>
      </c>
      <c r="C110" s="6" t="s">
        <v>3</v>
      </c>
      <c r="D110" s="6" t="s">
        <v>4</v>
      </c>
      <c r="E110" s="6" t="s">
        <v>5</v>
      </c>
      <c r="F110" s="6" t="s">
        <v>6</v>
      </c>
      <c r="G110" s="6" t="s">
        <v>7</v>
      </c>
      <c r="H110" s="6" t="s">
        <v>8</v>
      </c>
      <c r="I110" s="6" t="s">
        <v>9</v>
      </c>
      <c r="J110" s="6" t="s">
        <v>10</v>
      </c>
      <c r="K110" s="6" t="s">
        <v>11</v>
      </c>
      <c r="L110" s="6" t="s">
        <v>12</v>
      </c>
      <c r="M110" s="7" t="s">
        <v>13</v>
      </c>
      <c r="N110" s="7" t="s">
        <v>14</v>
      </c>
      <c r="O110" s="8" t="s">
        <v>15</v>
      </c>
      <c r="P110" s="45"/>
      <c r="R110" s="45"/>
      <c r="T110" s="45"/>
      <c r="V110" s="45"/>
    </row>
    <row r="111">
      <c r="A111" s="100" t="s">
        <v>16</v>
      </c>
      <c r="B111" s="101" t="s">
        <v>17</v>
      </c>
      <c r="C111" s="102">
        <v>180.0</v>
      </c>
      <c r="D111" s="102">
        <v>170.0</v>
      </c>
      <c r="E111" s="102">
        <v>180.0</v>
      </c>
      <c r="F111" s="102">
        <v>180.0</v>
      </c>
      <c r="G111" s="102">
        <v>170.0</v>
      </c>
      <c r="H111" s="102">
        <v>180.0</v>
      </c>
      <c r="I111" s="102">
        <v>180.0</v>
      </c>
      <c r="J111" s="102">
        <v>170.0</v>
      </c>
      <c r="K111" s="102">
        <v>180.0</v>
      </c>
      <c r="L111" s="102">
        <v>170.0</v>
      </c>
      <c r="M111" s="103">
        <f t="shared" ref="M111:M120" si="25">AVERAGE(C111:L111)</f>
        <v>176</v>
      </c>
      <c r="N111" s="104">
        <f t="shared" ref="N111:N120" si="26">MAX(C111:L111)</f>
        <v>180</v>
      </c>
      <c r="O111" s="105">
        <f t="shared" ref="O111:O120" si="27">_xlfn.PERCENTILE.INC(C111:L111, 0.9)</f>
        <v>180</v>
      </c>
      <c r="P111" s="45"/>
      <c r="R111" s="45"/>
      <c r="T111" s="45"/>
      <c r="V111" s="45"/>
    </row>
    <row r="112">
      <c r="A112" s="32"/>
      <c r="B112" s="106" t="s">
        <v>18</v>
      </c>
      <c r="C112" s="102">
        <v>177.611</v>
      </c>
      <c r="D112" s="102">
        <v>179.353</v>
      </c>
      <c r="E112" s="102">
        <v>178.503</v>
      </c>
      <c r="F112" s="102">
        <v>177.828</v>
      </c>
      <c r="G112" s="102">
        <v>179.742</v>
      </c>
      <c r="H112" s="102">
        <v>180.1</v>
      </c>
      <c r="I112" s="102">
        <v>178.208</v>
      </c>
      <c r="J112" s="102">
        <v>180.166</v>
      </c>
      <c r="K112" s="102">
        <v>178.907</v>
      </c>
      <c r="L112" s="102">
        <v>177.07</v>
      </c>
      <c r="M112" s="107">
        <f t="shared" si="25"/>
        <v>178.7488</v>
      </c>
      <c r="N112" s="108">
        <f t="shared" si="26"/>
        <v>180.166</v>
      </c>
      <c r="O112" s="109">
        <f t="shared" si="27"/>
        <v>180.1066</v>
      </c>
      <c r="P112" s="45"/>
      <c r="R112" s="45"/>
      <c r="T112" s="45"/>
      <c r="V112" s="45"/>
    </row>
    <row r="113">
      <c r="A113" s="25" t="s">
        <v>19</v>
      </c>
      <c r="B113" s="5" t="s">
        <v>17</v>
      </c>
      <c r="C113" s="27">
        <v>350.0</v>
      </c>
      <c r="D113" s="27">
        <v>340.0</v>
      </c>
      <c r="E113" s="27">
        <v>350.0</v>
      </c>
      <c r="F113" s="27">
        <v>350.0</v>
      </c>
      <c r="G113" s="27">
        <v>340.0</v>
      </c>
      <c r="H113" s="27">
        <v>340.0</v>
      </c>
      <c r="I113" s="27">
        <v>340.0</v>
      </c>
      <c r="J113" s="27">
        <v>350.0</v>
      </c>
      <c r="K113" s="27">
        <v>350.0</v>
      </c>
      <c r="L113" s="27">
        <v>330.0</v>
      </c>
      <c r="M113" s="29">
        <f t="shared" si="25"/>
        <v>344</v>
      </c>
      <c r="N113" s="30">
        <f t="shared" si="26"/>
        <v>350</v>
      </c>
      <c r="O113" s="31">
        <f t="shared" si="27"/>
        <v>350</v>
      </c>
      <c r="P113" s="45"/>
      <c r="R113" s="45"/>
      <c r="T113" s="45"/>
      <c r="V113" s="45"/>
    </row>
    <row r="114">
      <c r="A114" s="32"/>
      <c r="B114" s="62" t="s">
        <v>18</v>
      </c>
      <c r="C114" s="27">
        <v>342.157</v>
      </c>
      <c r="D114" s="27">
        <v>346.929</v>
      </c>
      <c r="E114" s="27">
        <v>344.683</v>
      </c>
      <c r="F114" s="27">
        <v>344.612</v>
      </c>
      <c r="G114" s="27">
        <v>346.723</v>
      </c>
      <c r="H114" s="27">
        <v>347.158</v>
      </c>
      <c r="I114" s="27">
        <v>347.45</v>
      </c>
      <c r="J114" s="27">
        <v>347.324</v>
      </c>
      <c r="K114" s="27">
        <v>346.663</v>
      </c>
      <c r="L114" s="27">
        <v>345.318</v>
      </c>
      <c r="M114" s="63">
        <f t="shared" si="25"/>
        <v>345.9017</v>
      </c>
      <c r="N114" s="30">
        <f t="shared" si="26"/>
        <v>347.45</v>
      </c>
      <c r="O114" s="31">
        <f t="shared" si="27"/>
        <v>347.3366</v>
      </c>
      <c r="P114" s="45"/>
      <c r="R114" s="45"/>
      <c r="T114" s="45"/>
      <c r="V114" s="45"/>
    </row>
    <row r="115">
      <c r="A115" s="100" t="s">
        <v>20</v>
      </c>
      <c r="B115" s="101" t="s">
        <v>17</v>
      </c>
      <c r="C115" s="102">
        <v>760.0</v>
      </c>
      <c r="D115" s="102">
        <v>1130.0</v>
      </c>
      <c r="E115" s="102">
        <v>820.0</v>
      </c>
      <c r="F115" s="102">
        <v>830.0</v>
      </c>
      <c r="G115" s="102">
        <v>1130.0</v>
      </c>
      <c r="H115" s="102">
        <v>1040.0</v>
      </c>
      <c r="I115" s="102">
        <v>1130.0</v>
      </c>
      <c r="J115" s="102">
        <v>820.0</v>
      </c>
      <c r="K115" s="102">
        <v>1130.0</v>
      </c>
      <c r="L115" s="102">
        <v>830.0</v>
      </c>
      <c r="M115" s="110">
        <f t="shared" si="25"/>
        <v>962</v>
      </c>
      <c r="N115" s="108">
        <f t="shared" si="26"/>
        <v>1130</v>
      </c>
      <c r="O115" s="109">
        <f t="shared" si="27"/>
        <v>1130</v>
      </c>
      <c r="P115" s="45"/>
      <c r="R115" s="45"/>
      <c r="T115" s="45"/>
      <c r="V115" s="45"/>
    </row>
    <row r="116">
      <c r="A116" s="32"/>
      <c r="B116" s="111" t="s">
        <v>18</v>
      </c>
      <c r="C116" s="102">
        <v>769.327</v>
      </c>
      <c r="D116" s="102">
        <v>1130.4</v>
      </c>
      <c r="E116" s="102">
        <v>830.946</v>
      </c>
      <c r="F116" s="102">
        <v>832.147</v>
      </c>
      <c r="G116" s="102">
        <v>1137.11</v>
      </c>
      <c r="H116" s="102">
        <v>1046.27</v>
      </c>
      <c r="I116" s="102">
        <v>1138.56</v>
      </c>
      <c r="J116" s="102">
        <v>830.81</v>
      </c>
      <c r="K116" s="102">
        <v>1130.5</v>
      </c>
      <c r="L116" s="102">
        <v>832.308</v>
      </c>
      <c r="M116" s="107">
        <f t="shared" si="25"/>
        <v>967.8378</v>
      </c>
      <c r="N116" s="108">
        <f t="shared" si="26"/>
        <v>1138.56</v>
      </c>
      <c r="O116" s="109">
        <f t="shared" si="27"/>
        <v>1137.255</v>
      </c>
      <c r="P116" s="45"/>
      <c r="R116" s="45"/>
      <c r="T116" s="45"/>
      <c r="V116" s="45"/>
    </row>
    <row r="117">
      <c r="A117" s="25" t="s">
        <v>21</v>
      </c>
      <c r="B117" s="5" t="s">
        <v>17</v>
      </c>
      <c r="C117" s="27">
        <v>1750.0</v>
      </c>
      <c r="D117" s="27">
        <v>1960.0</v>
      </c>
      <c r="E117" s="27">
        <v>1190.0</v>
      </c>
      <c r="F117" s="27">
        <v>1180.0</v>
      </c>
      <c r="G117" s="27">
        <v>1180.0</v>
      </c>
      <c r="H117" s="27">
        <v>1180.0</v>
      </c>
      <c r="I117" s="27">
        <v>1930.0</v>
      </c>
      <c r="J117" s="27">
        <v>1180.0</v>
      </c>
      <c r="K117" s="27">
        <v>1190.0</v>
      </c>
      <c r="L117" s="27">
        <v>1180.0</v>
      </c>
      <c r="M117" s="29">
        <f t="shared" si="25"/>
        <v>1392</v>
      </c>
      <c r="N117" s="30">
        <f t="shared" si="26"/>
        <v>1960</v>
      </c>
      <c r="O117" s="31">
        <f t="shared" si="27"/>
        <v>1933</v>
      </c>
      <c r="P117" s="45"/>
      <c r="R117" s="45"/>
      <c r="T117" s="45"/>
      <c r="V117" s="45"/>
    </row>
    <row r="118">
      <c r="A118" s="32"/>
      <c r="B118" s="62" t="s">
        <v>18</v>
      </c>
      <c r="C118" s="27">
        <v>1750.04</v>
      </c>
      <c r="D118" s="27">
        <v>1963.3</v>
      </c>
      <c r="E118" s="27">
        <v>1190.42</v>
      </c>
      <c r="F118" s="27">
        <v>1190.79</v>
      </c>
      <c r="G118" s="27">
        <v>1187.5</v>
      </c>
      <c r="H118" s="27">
        <v>1188.52</v>
      </c>
      <c r="I118" s="27">
        <v>1925.27</v>
      </c>
      <c r="J118" s="27">
        <v>1180.57</v>
      </c>
      <c r="K118" s="27">
        <v>1180.46</v>
      </c>
      <c r="L118" s="27">
        <v>1174.23</v>
      </c>
      <c r="M118" s="63">
        <f t="shared" si="25"/>
        <v>1393.11</v>
      </c>
      <c r="N118" s="30">
        <f t="shared" si="26"/>
        <v>1963.3</v>
      </c>
      <c r="O118" s="31">
        <f t="shared" si="27"/>
        <v>1929.073</v>
      </c>
      <c r="P118" s="45"/>
      <c r="R118" s="45"/>
      <c r="T118" s="45"/>
      <c r="V118" s="45"/>
    </row>
    <row r="119">
      <c r="A119" s="100" t="s">
        <v>22</v>
      </c>
      <c r="B119" s="101" t="s">
        <v>17</v>
      </c>
      <c r="C119" s="102">
        <v>3460.0</v>
      </c>
      <c r="D119" s="102">
        <v>3480.0</v>
      </c>
      <c r="E119" s="102">
        <v>3480.0</v>
      </c>
      <c r="F119" s="102">
        <v>3470.0</v>
      </c>
      <c r="G119" s="102">
        <v>3510.0</v>
      </c>
      <c r="H119" s="102">
        <v>3360.0</v>
      </c>
      <c r="I119" s="102">
        <v>3460.0</v>
      </c>
      <c r="J119" s="102">
        <v>3530.0</v>
      </c>
      <c r="K119" s="102">
        <v>3500.0</v>
      </c>
      <c r="L119" s="102">
        <v>3510.0</v>
      </c>
      <c r="M119" s="110">
        <f t="shared" si="25"/>
        <v>3476</v>
      </c>
      <c r="N119" s="108">
        <f t="shared" si="26"/>
        <v>3530</v>
      </c>
      <c r="O119" s="109">
        <f t="shared" si="27"/>
        <v>3512</v>
      </c>
      <c r="P119" s="45"/>
      <c r="R119" s="45"/>
      <c r="T119" s="45"/>
      <c r="V119" s="45"/>
    </row>
    <row r="120">
      <c r="A120" s="32"/>
      <c r="B120" s="112" t="s">
        <v>18</v>
      </c>
      <c r="C120" s="113">
        <v>3480.42</v>
      </c>
      <c r="D120" s="113">
        <v>3486.52</v>
      </c>
      <c r="E120" s="113">
        <v>3484.33</v>
      </c>
      <c r="F120" s="113">
        <v>3474.28</v>
      </c>
      <c r="G120" s="113">
        <v>3517.32</v>
      </c>
      <c r="H120" s="113">
        <v>3372.0</v>
      </c>
      <c r="I120" s="113">
        <v>3469.75</v>
      </c>
      <c r="J120" s="113">
        <v>3532.86</v>
      </c>
      <c r="K120" s="113">
        <v>3505.01</v>
      </c>
      <c r="L120" s="113">
        <v>3510.6</v>
      </c>
      <c r="M120" s="114">
        <f t="shared" si="25"/>
        <v>3483.309</v>
      </c>
      <c r="N120" s="115">
        <f t="shared" si="26"/>
        <v>3532.86</v>
      </c>
      <c r="O120" s="116">
        <f t="shared" si="27"/>
        <v>3518.874</v>
      </c>
      <c r="P120" s="45"/>
      <c r="R120" s="45"/>
      <c r="T120" s="45"/>
      <c r="V120" s="45"/>
    </row>
    <row r="121">
      <c r="O121" s="41"/>
      <c r="P121" s="45"/>
      <c r="R121" s="45"/>
      <c r="T121" s="45"/>
      <c r="V121" s="45"/>
    </row>
    <row r="122">
      <c r="A122" s="74"/>
      <c r="P122" s="45"/>
      <c r="R122" s="45"/>
      <c r="T122" s="45"/>
      <c r="V122" s="45"/>
    </row>
    <row r="123">
      <c r="O123" s="41"/>
      <c r="P123" s="45"/>
      <c r="R123" s="45"/>
      <c r="T123" s="45"/>
      <c r="V123" s="45"/>
    </row>
    <row r="124">
      <c r="A124" s="1" t="s">
        <v>32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45"/>
      <c r="R124" s="45"/>
      <c r="T124" s="45"/>
      <c r="V124" s="45"/>
    </row>
    <row r="125">
      <c r="A125" s="4" t="s">
        <v>1</v>
      </c>
      <c r="B125" s="4" t="s">
        <v>2</v>
      </c>
      <c r="C125" s="6" t="s">
        <v>3</v>
      </c>
      <c r="D125" s="6" t="s">
        <v>4</v>
      </c>
      <c r="E125" s="6" t="s">
        <v>5</v>
      </c>
      <c r="F125" s="6" t="s">
        <v>6</v>
      </c>
      <c r="G125" s="6" t="s">
        <v>7</v>
      </c>
      <c r="H125" s="6" t="s">
        <v>8</v>
      </c>
      <c r="I125" s="6" t="s">
        <v>9</v>
      </c>
      <c r="J125" s="6" t="s">
        <v>10</v>
      </c>
      <c r="K125" s="6" t="s">
        <v>11</v>
      </c>
      <c r="L125" s="6" t="s">
        <v>12</v>
      </c>
      <c r="M125" s="7" t="s">
        <v>13</v>
      </c>
      <c r="N125" s="7" t="s">
        <v>14</v>
      </c>
      <c r="O125" s="8" t="s">
        <v>15</v>
      </c>
      <c r="P125" s="45"/>
      <c r="R125" s="45"/>
      <c r="T125" s="45"/>
      <c r="V125" s="45"/>
    </row>
    <row r="126">
      <c r="A126" s="124" t="s">
        <v>16</v>
      </c>
      <c r="B126" s="125" t="s">
        <v>17</v>
      </c>
      <c r="C126" s="126">
        <v>130.0</v>
      </c>
      <c r="D126" s="126">
        <v>120.0</v>
      </c>
      <c r="E126" s="126">
        <v>480.0</v>
      </c>
      <c r="F126" s="126">
        <v>140.0</v>
      </c>
      <c r="G126" s="126">
        <v>130.0</v>
      </c>
      <c r="H126" s="126">
        <v>130.0</v>
      </c>
      <c r="I126" s="126">
        <v>490.0</v>
      </c>
      <c r="J126" s="126">
        <v>130.0</v>
      </c>
      <c r="K126" s="126">
        <v>140.0</v>
      </c>
      <c r="L126" s="126">
        <v>490.0</v>
      </c>
      <c r="M126" s="127">
        <f t="shared" ref="M126:M135" si="28">AVERAGE(C126:L126)</f>
        <v>238</v>
      </c>
      <c r="N126" s="128">
        <f t="shared" ref="N126:N135" si="29">MAX(C126:L126)</f>
        <v>490</v>
      </c>
      <c r="O126" s="129">
        <f t="shared" ref="O126:O135" si="30">_xlfn.PERCENTILE.INC(C126:L126, 0.9)</f>
        <v>490</v>
      </c>
      <c r="P126" s="45"/>
      <c r="R126" s="45"/>
      <c r="T126" s="45"/>
      <c r="V126" s="45"/>
    </row>
    <row r="127">
      <c r="A127" s="32"/>
      <c r="B127" s="130" t="s">
        <v>18</v>
      </c>
      <c r="C127" s="126">
        <v>129.207</v>
      </c>
      <c r="D127" s="126">
        <v>127.904</v>
      </c>
      <c r="E127" s="126">
        <v>483.204</v>
      </c>
      <c r="F127" s="126">
        <v>129.033</v>
      </c>
      <c r="G127" s="126">
        <v>129.117</v>
      </c>
      <c r="H127" s="126">
        <v>128.933</v>
      </c>
      <c r="I127" s="126">
        <v>481.871</v>
      </c>
      <c r="J127" s="126">
        <v>129.262</v>
      </c>
      <c r="K127" s="126">
        <v>127.983</v>
      </c>
      <c r="L127" s="126">
        <v>489.746</v>
      </c>
      <c r="M127" s="131">
        <f t="shared" si="28"/>
        <v>235.626</v>
      </c>
      <c r="N127" s="132">
        <f t="shared" si="29"/>
        <v>489.746</v>
      </c>
      <c r="O127" s="133">
        <f t="shared" si="30"/>
        <v>483.8582</v>
      </c>
      <c r="P127" s="45"/>
      <c r="R127" s="45"/>
      <c r="T127" s="45"/>
      <c r="V127" s="45"/>
    </row>
    <row r="128">
      <c r="A128" s="25" t="s">
        <v>19</v>
      </c>
      <c r="B128" s="5" t="s">
        <v>17</v>
      </c>
      <c r="C128" s="27">
        <v>900.0</v>
      </c>
      <c r="D128" s="27">
        <v>230.0</v>
      </c>
      <c r="E128" s="27">
        <v>250.0</v>
      </c>
      <c r="F128" s="27">
        <v>940.0</v>
      </c>
      <c r="G128" s="27">
        <v>230.0</v>
      </c>
      <c r="H128" s="27">
        <v>940.0</v>
      </c>
      <c r="I128" s="27">
        <v>240.0</v>
      </c>
      <c r="J128" s="27">
        <v>910.0</v>
      </c>
      <c r="K128" s="27">
        <v>250.0</v>
      </c>
      <c r="L128" s="27">
        <v>240.0</v>
      </c>
      <c r="M128" s="29">
        <f t="shared" si="28"/>
        <v>513</v>
      </c>
      <c r="N128" s="30">
        <f t="shared" si="29"/>
        <v>940</v>
      </c>
      <c r="O128" s="31">
        <f t="shared" si="30"/>
        <v>940</v>
      </c>
      <c r="P128" s="45"/>
      <c r="R128" s="45"/>
      <c r="T128" s="45"/>
      <c r="V128" s="45"/>
    </row>
    <row r="129">
      <c r="A129" s="32"/>
      <c r="B129" s="62" t="s">
        <v>18</v>
      </c>
      <c r="C129" s="27">
        <v>910.046</v>
      </c>
      <c r="D129" s="27">
        <v>244.509</v>
      </c>
      <c r="E129" s="27">
        <v>242.515</v>
      </c>
      <c r="F129" s="27">
        <v>937.173</v>
      </c>
      <c r="G129" s="27">
        <v>244.554</v>
      </c>
      <c r="H129" s="27">
        <v>936.989</v>
      </c>
      <c r="I129" s="27">
        <v>242.294</v>
      </c>
      <c r="J129" s="27">
        <v>914.343</v>
      </c>
      <c r="K129" s="27">
        <v>243.798</v>
      </c>
      <c r="L129" s="27">
        <v>242.284</v>
      </c>
      <c r="M129" s="63">
        <f t="shared" si="28"/>
        <v>515.8505</v>
      </c>
      <c r="N129" s="30">
        <f t="shared" si="29"/>
        <v>937.173</v>
      </c>
      <c r="O129" s="31">
        <f t="shared" si="30"/>
        <v>937.0074</v>
      </c>
      <c r="P129" s="45"/>
      <c r="R129" s="45"/>
      <c r="T129" s="45"/>
      <c r="V129" s="45"/>
    </row>
    <row r="130">
      <c r="A130" s="124" t="s">
        <v>20</v>
      </c>
      <c r="B130" s="125" t="s">
        <v>17</v>
      </c>
      <c r="C130" s="126">
        <v>460.0</v>
      </c>
      <c r="D130" s="126">
        <v>1820.0</v>
      </c>
      <c r="E130" s="126">
        <v>460.0</v>
      </c>
      <c r="F130" s="126">
        <v>460.0</v>
      </c>
      <c r="G130" s="126">
        <v>460.0</v>
      </c>
      <c r="H130" s="126">
        <v>1790.0</v>
      </c>
      <c r="I130" s="126">
        <v>450.0</v>
      </c>
      <c r="J130" s="126">
        <v>460.0</v>
      </c>
      <c r="K130" s="126">
        <v>1830.0</v>
      </c>
      <c r="L130" s="126">
        <v>460.0</v>
      </c>
      <c r="M130" s="134">
        <f t="shared" si="28"/>
        <v>865</v>
      </c>
      <c r="N130" s="132">
        <f t="shared" si="29"/>
        <v>1830</v>
      </c>
      <c r="O130" s="133">
        <f t="shared" si="30"/>
        <v>1821</v>
      </c>
      <c r="P130" s="45"/>
      <c r="R130" s="45"/>
      <c r="T130" s="45"/>
      <c r="V130" s="45"/>
    </row>
    <row r="131">
      <c r="A131" s="32"/>
      <c r="B131" s="135" t="s">
        <v>18</v>
      </c>
      <c r="C131" s="126">
        <v>457.207</v>
      </c>
      <c r="D131" s="126">
        <v>1819.93</v>
      </c>
      <c r="E131" s="126">
        <v>460.002</v>
      </c>
      <c r="F131" s="126">
        <v>456.826</v>
      </c>
      <c r="G131" s="126">
        <v>461.178</v>
      </c>
      <c r="H131" s="126">
        <v>1788.28</v>
      </c>
      <c r="I131" s="126">
        <v>459.707</v>
      </c>
      <c r="J131" s="126">
        <v>457.22</v>
      </c>
      <c r="K131" s="126">
        <v>1842.98</v>
      </c>
      <c r="L131" s="126">
        <v>459.919</v>
      </c>
      <c r="M131" s="131">
        <f t="shared" si="28"/>
        <v>866.3249</v>
      </c>
      <c r="N131" s="132">
        <f t="shared" si="29"/>
        <v>1842.98</v>
      </c>
      <c r="O131" s="133">
        <f t="shared" si="30"/>
        <v>1822.235</v>
      </c>
      <c r="P131" s="45"/>
      <c r="R131" s="45"/>
      <c r="T131" s="45"/>
      <c r="V131" s="45"/>
    </row>
    <row r="132">
      <c r="A132" s="25" t="s">
        <v>21</v>
      </c>
      <c r="B132" s="5" t="s">
        <v>17</v>
      </c>
      <c r="C132" s="27">
        <v>850.0</v>
      </c>
      <c r="D132" s="27">
        <v>840.0</v>
      </c>
      <c r="E132" s="27">
        <v>3570.0</v>
      </c>
      <c r="F132" s="27">
        <v>850.0</v>
      </c>
      <c r="G132" s="27">
        <v>3560.0</v>
      </c>
      <c r="H132" s="27">
        <v>840.0</v>
      </c>
      <c r="I132" s="27">
        <v>3570.0</v>
      </c>
      <c r="J132" s="27">
        <v>860.0</v>
      </c>
      <c r="K132" s="27">
        <v>850.0</v>
      </c>
      <c r="L132" s="27">
        <v>3440.0</v>
      </c>
      <c r="M132" s="29">
        <f t="shared" si="28"/>
        <v>1923</v>
      </c>
      <c r="N132" s="30">
        <f t="shared" si="29"/>
        <v>3570</v>
      </c>
      <c r="O132" s="31">
        <f t="shared" si="30"/>
        <v>3570</v>
      </c>
      <c r="P132" s="45"/>
      <c r="R132" s="45"/>
      <c r="T132" s="45"/>
      <c r="V132" s="45"/>
    </row>
    <row r="133">
      <c r="A133" s="32"/>
      <c r="B133" s="62" t="s">
        <v>18</v>
      </c>
      <c r="C133" s="27">
        <v>853.348</v>
      </c>
      <c r="D133" s="27">
        <v>841.761</v>
      </c>
      <c r="E133" s="27">
        <v>3584.7</v>
      </c>
      <c r="F133" s="27">
        <v>853.249</v>
      </c>
      <c r="G133" s="27">
        <v>3564.49</v>
      </c>
      <c r="H133" s="27">
        <v>847.13</v>
      </c>
      <c r="I133" s="27">
        <v>3584.06</v>
      </c>
      <c r="J133" s="27">
        <v>855.612</v>
      </c>
      <c r="K133" s="27">
        <v>846.745</v>
      </c>
      <c r="L133" s="27">
        <v>3447.82</v>
      </c>
      <c r="M133" s="63">
        <f t="shared" si="28"/>
        <v>1927.8915</v>
      </c>
      <c r="N133" s="30">
        <f t="shared" si="29"/>
        <v>3584.7</v>
      </c>
      <c r="O133" s="31">
        <f t="shared" si="30"/>
        <v>3584.124</v>
      </c>
      <c r="P133" s="45"/>
      <c r="R133" s="45"/>
      <c r="T133" s="45"/>
      <c r="V133" s="45"/>
    </row>
    <row r="134">
      <c r="A134" s="124" t="s">
        <v>22</v>
      </c>
      <c r="B134" s="125" t="s">
        <v>17</v>
      </c>
      <c r="C134" s="126">
        <v>6110.0</v>
      </c>
      <c r="D134" s="126">
        <v>1510.0</v>
      </c>
      <c r="E134" s="126">
        <v>1510.0</v>
      </c>
      <c r="F134" s="126">
        <v>1570.0</v>
      </c>
      <c r="G134" s="126">
        <v>1490.0</v>
      </c>
      <c r="H134" s="126">
        <v>1500.0</v>
      </c>
      <c r="I134" s="126">
        <v>1490.0</v>
      </c>
      <c r="J134" s="126">
        <v>6250.0</v>
      </c>
      <c r="K134" s="126">
        <v>1510.0</v>
      </c>
      <c r="L134" s="126">
        <v>1500.0</v>
      </c>
      <c r="M134" s="134">
        <f t="shared" si="28"/>
        <v>2444</v>
      </c>
      <c r="N134" s="132">
        <f t="shared" si="29"/>
        <v>6250</v>
      </c>
      <c r="O134" s="133">
        <f t="shared" si="30"/>
        <v>6124</v>
      </c>
      <c r="P134" s="45"/>
      <c r="R134" s="45"/>
      <c r="T134" s="45"/>
      <c r="V134" s="45"/>
    </row>
    <row r="135">
      <c r="A135" s="32"/>
      <c r="B135" s="136" t="s">
        <v>18</v>
      </c>
      <c r="C135" s="137">
        <v>6135.08</v>
      </c>
      <c r="D135" s="137">
        <v>1511.68</v>
      </c>
      <c r="E135" s="137">
        <v>1499.62</v>
      </c>
      <c r="F135" s="137">
        <v>1571.4</v>
      </c>
      <c r="G135" s="137">
        <v>1500.34</v>
      </c>
      <c r="H135" s="137">
        <v>1512.55</v>
      </c>
      <c r="I135" s="137">
        <v>1498.62</v>
      </c>
      <c r="J135" s="137">
        <v>6267.72</v>
      </c>
      <c r="K135" s="137">
        <v>1510.66</v>
      </c>
      <c r="L135" s="137">
        <v>1498.56</v>
      </c>
      <c r="M135" s="138">
        <f t="shared" si="28"/>
        <v>2450.623</v>
      </c>
      <c r="N135" s="139">
        <f t="shared" si="29"/>
        <v>6267.72</v>
      </c>
      <c r="O135" s="140">
        <f t="shared" si="30"/>
        <v>6148.344</v>
      </c>
      <c r="P135" s="45"/>
      <c r="R135" s="45"/>
      <c r="T135" s="45"/>
      <c r="V135" s="45"/>
    </row>
    <row r="136">
      <c r="O136" s="41"/>
      <c r="P136" s="45"/>
      <c r="R136" s="45"/>
      <c r="T136" s="45"/>
      <c r="V136" s="45"/>
    </row>
    <row r="137">
      <c r="A137" s="1" t="s">
        <v>33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45"/>
      <c r="R137" s="45"/>
      <c r="T137" s="45"/>
      <c r="V137" s="45"/>
    </row>
    <row r="138">
      <c r="A138" s="4" t="s">
        <v>1</v>
      </c>
      <c r="B138" s="4" t="s">
        <v>2</v>
      </c>
      <c r="C138" s="6" t="s">
        <v>3</v>
      </c>
      <c r="D138" s="6" t="s">
        <v>4</v>
      </c>
      <c r="E138" s="6" t="s">
        <v>5</v>
      </c>
      <c r="F138" s="6" t="s">
        <v>6</v>
      </c>
      <c r="G138" s="6" t="s">
        <v>7</v>
      </c>
      <c r="H138" s="6" t="s">
        <v>8</v>
      </c>
      <c r="I138" s="6" t="s">
        <v>9</v>
      </c>
      <c r="J138" s="6" t="s">
        <v>10</v>
      </c>
      <c r="K138" s="6" t="s">
        <v>11</v>
      </c>
      <c r="L138" s="6" t="s">
        <v>12</v>
      </c>
      <c r="M138" s="7" t="s">
        <v>13</v>
      </c>
      <c r="N138" s="7" t="s">
        <v>14</v>
      </c>
      <c r="O138" s="8" t="s">
        <v>15</v>
      </c>
      <c r="P138" s="45"/>
      <c r="R138" s="45"/>
      <c r="T138" s="45"/>
      <c r="V138" s="45"/>
    </row>
    <row r="139">
      <c r="A139" s="124" t="s">
        <v>16</v>
      </c>
      <c r="B139" s="125" t="s">
        <v>17</v>
      </c>
      <c r="C139" s="126">
        <v>190.0</v>
      </c>
      <c r="D139" s="126">
        <v>340.0</v>
      </c>
      <c r="E139" s="126">
        <v>180.0</v>
      </c>
      <c r="F139" s="126">
        <v>440.0</v>
      </c>
      <c r="G139" s="126">
        <v>270.0</v>
      </c>
      <c r="H139" s="126">
        <v>260.0</v>
      </c>
      <c r="I139" s="126">
        <v>530.0</v>
      </c>
      <c r="J139" s="126">
        <v>250.0</v>
      </c>
      <c r="K139" s="126">
        <v>270.0</v>
      </c>
      <c r="L139" s="126">
        <v>570.0</v>
      </c>
      <c r="M139" s="127">
        <f t="shared" ref="M139:M148" si="31">AVERAGE(C139:L139)</f>
        <v>330</v>
      </c>
      <c r="N139" s="128">
        <f t="shared" ref="N139:N148" si="32">MAX(C139:L139)</f>
        <v>570</v>
      </c>
      <c r="O139" s="129">
        <f t="shared" ref="O139:O148" si="33">_xlfn.PERCENTILE.INC(C139:L139, 0.9)</f>
        <v>534</v>
      </c>
      <c r="P139" s="45"/>
      <c r="R139" s="45"/>
      <c r="T139" s="45"/>
      <c r="V139" s="45"/>
    </row>
    <row r="140">
      <c r="A140" s="32"/>
      <c r="B140" s="130" t="s">
        <v>18</v>
      </c>
      <c r="C140" s="126">
        <v>200.033</v>
      </c>
      <c r="D140" s="126">
        <v>334.136</v>
      </c>
      <c r="E140" s="126">
        <v>169.301</v>
      </c>
      <c r="F140" s="126">
        <v>440.059</v>
      </c>
      <c r="G140" s="126">
        <v>267.921</v>
      </c>
      <c r="H140" s="126">
        <v>267.63</v>
      </c>
      <c r="I140" s="126">
        <v>530.455</v>
      </c>
      <c r="J140" s="126">
        <v>244.353</v>
      </c>
      <c r="K140" s="126">
        <v>269.146</v>
      </c>
      <c r="L140" s="126">
        <v>580.626</v>
      </c>
      <c r="M140" s="131">
        <f t="shared" si="31"/>
        <v>330.366</v>
      </c>
      <c r="N140" s="132">
        <f t="shared" si="32"/>
        <v>580.626</v>
      </c>
      <c r="O140" s="133">
        <f t="shared" si="33"/>
        <v>535.4721</v>
      </c>
      <c r="P140" s="45"/>
      <c r="R140" s="45"/>
      <c r="T140" s="45"/>
      <c r="V140" s="45"/>
    </row>
    <row r="141">
      <c r="A141" s="25" t="s">
        <v>19</v>
      </c>
      <c r="B141" s="5" t="s">
        <v>17</v>
      </c>
      <c r="C141" s="27">
        <v>330.0</v>
      </c>
      <c r="D141" s="27">
        <v>370.0</v>
      </c>
      <c r="E141" s="27">
        <v>320.0</v>
      </c>
      <c r="F141" s="27">
        <v>640.0</v>
      </c>
      <c r="G141" s="27">
        <v>530.0</v>
      </c>
      <c r="H141" s="27">
        <v>620.0</v>
      </c>
      <c r="I141" s="27">
        <v>420.0</v>
      </c>
      <c r="J141" s="27">
        <v>330.0</v>
      </c>
      <c r="K141" s="27">
        <v>400.0</v>
      </c>
      <c r="L141" s="27">
        <v>430.0</v>
      </c>
      <c r="M141" s="29">
        <f t="shared" si="31"/>
        <v>439</v>
      </c>
      <c r="N141" s="30">
        <f t="shared" si="32"/>
        <v>640</v>
      </c>
      <c r="O141" s="31">
        <f t="shared" si="33"/>
        <v>622</v>
      </c>
      <c r="P141" s="45"/>
      <c r="R141" s="45"/>
      <c r="T141" s="45"/>
      <c r="V141" s="45"/>
    </row>
    <row r="142">
      <c r="A142" s="32"/>
      <c r="B142" s="62" t="s">
        <v>18</v>
      </c>
      <c r="C142" s="27">
        <v>326.363</v>
      </c>
      <c r="D142" s="27">
        <v>382.943</v>
      </c>
      <c r="E142" s="27">
        <v>324.143</v>
      </c>
      <c r="F142" s="27">
        <v>643.16</v>
      </c>
      <c r="G142" s="27">
        <v>537.025</v>
      </c>
      <c r="H142" s="27">
        <v>616.047</v>
      </c>
      <c r="I142" s="27">
        <v>427.266</v>
      </c>
      <c r="J142" s="27">
        <v>337.121</v>
      </c>
      <c r="K142" s="27">
        <v>397.3</v>
      </c>
      <c r="L142" s="27">
        <v>441.302</v>
      </c>
      <c r="M142" s="63">
        <f t="shared" si="31"/>
        <v>443.267</v>
      </c>
      <c r="N142" s="30">
        <f t="shared" si="32"/>
        <v>643.16</v>
      </c>
      <c r="O142" s="31">
        <f t="shared" si="33"/>
        <v>618.7583</v>
      </c>
      <c r="P142" s="45"/>
      <c r="R142" s="45"/>
      <c r="T142" s="45"/>
      <c r="V142" s="45"/>
    </row>
    <row r="143">
      <c r="A143" s="124" t="s">
        <v>20</v>
      </c>
      <c r="B143" s="125" t="s">
        <v>17</v>
      </c>
      <c r="C143" s="126">
        <v>1550.0</v>
      </c>
      <c r="D143" s="126">
        <v>1020.0</v>
      </c>
      <c r="E143" s="126">
        <v>1570.0</v>
      </c>
      <c r="F143" s="126">
        <v>1250.0</v>
      </c>
      <c r="G143" s="126">
        <v>820.0</v>
      </c>
      <c r="H143" s="126">
        <v>910.0</v>
      </c>
      <c r="I143" s="126">
        <v>750.0</v>
      </c>
      <c r="J143" s="126">
        <v>1230.0</v>
      </c>
      <c r="K143" s="126">
        <v>910.0</v>
      </c>
      <c r="L143" s="126">
        <v>900.0</v>
      </c>
      <c r="M143" s="134">
        <f t="shared" si="31"/>
        <v>1091</v>
      </c>
      <c r="N143" s="132">
        <f t="shared" si="32"/>
        <v>1570</v>
      </c>
      <c r="O143" s="133">
        <f t="shared" si="33"/>
        <v>1552</v>
      </c>
      <c r="P143" s="45"/>
      <c r="R143" s="45"/>
      <c r="T143" s="45"/>
      <c r="V143" s="45"/>
    </row>
    <row r="144">
      <c r="A144" s="32"/>
      <c r="B144" s="135" t="s">
        <v>18</v>
      </c>
      <c r="C144" s="126">
        <v>1558.55</v>
      </c>
      <c r="D144" s="126">
        <v>1021.74</v>
      </c>
      <c r="E144" s="126">
        <v>1577.72</v>
      </c>
      <c r="F144" s="126">
        <v>1247.86</v>
      </c>
      <c r="G144" s="126">
        <v>828.539</v>
      </c>
      <c r="H144" s="126">
        <v>922.88</v>
      </c>
      <c r="I144" s="126">
        <v>751.744</v>
      </c>
      <c r="J144" s="126">
        <v>1233.53</v>
      </c>
      <c r="K144" s="126">
        <v>908.669</v>
      </c>
      <c r="L144" s="126">
        <v>906.131</v>
      </c>
      <c r="M144" s="131">
        <f t="shared" si="31"/>
        <v>1095.7363</v>
      </c>
      <c r="N144" s="132">
        <f t="shared" si="32"/>
        <v>1577.72</v>
      </c>
      <c r="O144" s="133">
        <f t="shared" si="33"/>
        <v>1560.467</v>
      </c>
      <c r="P144" s="45"/>
      <c r="R144" s="45"/>
      <c r="T144" s="45"/>
      <c r="V144" s="45"/>
    </row>
    <row r="145">
      <c r="A145" s="25" t="s">
        <v>21</v>
      </c>
      <c r="B145" s="5" t="s">
        <v>17</v>
      </c>
      <c r="C145" s="27">
        <v>2290.0</v>
      </c>
      <c r="D145" s="27">
        <v>2690.0</v>
      </c>
      <c r="E145" s="27">
        <v>2970.0</v>
      </c>
      <c r="F145" s="27">
        <v>2510.0</v>
      </c>
      <c r="G145" s="27">
        <v>1420.0</v>
      </c>
      <c r="H145" s="27">
        <v>2010.0</v>
      </c>
      <c r="I145" s="27">
        <v>1850.0</v>
      </c>
      <c r="J145" s="27">
        <v>1270.0</v>
      </c>
      <c r="K145" s="27">
        <v>1770.0</v>
      </c>
      <c r="L145" s="27">
        <v>2250.0</v>
      </c>
      <c r="M145" s="29">
        <f t="shared" si="31"/>
        <v>2103</v>
      </c>
      <c r="N145" s="30">
        <f t="shared" si="32"/>
        <v>2970</v>
      </c>
      <c r="O145" s="31">
        <f t="shared" si="33"/>
        <v>2718</v>
      </c>
      <c r="P145" s="45"/>
      <c r="R145" s="45"/>
      <c r="T145" s="45"/>
      <c r="V145" s="45"/>
    </row>
    <row r="146">
      <c r="A146" s="32"/>
      <c r="B146" s="62" t="s">
        <v>18</v>
      </c>
      <c r="C146" s="27">
        <v>2288.76</v>
      </c>
      <c r="D146" s="27">
        <v>2698.21</v>
      </c>
      <c r="E146" s="27">
        <v>2970.79</v>
      </c>
      <c r="F146" s="27">
        <v>2519.79</v>
      </c>
      <c r="G146" s="27">
        <v>1435.0</v>
      </c>
      <c r="H146" s="27">
        <v>2005.25</v>
      </c>
      <c r="I146" s="27">
        <v>1859.53</v>
      </c>
      <c r="J146" s="27">
        <v>1272.03</v>
      </c>
      <c r="K146" s="27">
        <v>1765.19</v>
      </c>
      <c r="L146" s="27">
        <v>2255.63</v>
      </c>
      <c r="M146" s="63">
        <f t="shared" si="31"/>
        <v>2107.018</v>
      </c>
      <c r="N146" s="30">
        <f t="shared" si="32"/>
        <v>2970.79</v>
      </c>
      <c r="O146" s="31">
        <f t="shared" si="33"/>
        <v>2725.468</v>
      </c>
      <c r="P146" s="45"/>
      <c r="R146" s="45"/>
      <c r="T146" s="45"/>
      <c r="V146" s="45"/>
    </row>
    <row r="147">
      <c r="A147" s="124" t="s">
        <v>22</v>
      </c>
      <c r="B147" s="125" t="s">
        <v>17</v>
      </c>
      <c r="C147" s="126">
        <v>2770.0</v>
      </c>
      <c r="D147" s="126">
        <v>3640.0</v>
      </c>
      <c r="E147" s="126">
        <v>7760.0</v>
      </c>
      <c r="F147" s="126">
        <v>5060.0</v>
      </c>
      <c r="G147" s="126">
        <v>5200.0</v>
      </c>
      <c r="H147" s="126">
        <v>6460.0</v>
      </c>
      <c r="I147" s="126">
        <v>3700.0</v>
      </c>
      <c r="J147" s="126">
        <v>3980.0</v>
      </c>
      <c r="K147" s="126">
        <v>5430.0</v>
      </c>
      <c r="L147" s="126">
        <v>5240.0</v>
      </c>
      <c r="M147" s="134">
        <f t="shared" si="31"/>
        <v>4924</v>
      </c>
      <c r="N147" s="132">
        <f t="shared" si="32"/>
        <v>7760</v>
      </c>
      <c r="O147" s="133">
        <f t="shared" si="33"/>
        <v>6590</v>
      </c>
      <c r="P147" s="45"/>
      <c r="R147" s="45"/>
      <c r="T147" s="45"/>
      <c r="V147" s="45"/>
    </row>
    <row r="148">
      <c r="A148" s="32"/>
      <c r="B148" s="136" t="s">
        <v>18</v>
      </c>
      <c r="C148" s="137">
        <v>2774.81</v>
      </c>
      <c r="D148" s="137">
        <v>3636.63</v>
      </c>
      <c r="E148" s="137">
        <v>7781.46</v>
      </c>
      <c r="F148" s="137">
        <v>5075.72</v>
      </c>
      <c r="G148" s="137">
        <v>5205.51</v>
      </c>
      <c r="H148" s="137">
        <v>6467.04</v>
      </c>
      <c r="I148" s="137">
        <v>3702.71</v>
      </c>
      <c r="J148" s="137">
        <v>3996.03</v>
      </c>
      <c r="K148" s="137">
        <v>5439.01</v>
      </c>
      <c r="L148" s="137">
        <v>5247.38</v>
      </c>
      <c r="M148" s="138">
        <f t="shared" si="31"/>
        <v>4932.63</v>
      </c>
      <c r="N148" s="139">
        <f t="shared" si="32"/>
        <v>7781.46</v>
      </c>
      <c r="O148" s="140">
        <f t="shared" si="33"/>
        <v>6598.482</v>
      </c>
      <c r="P148" s="45"/>
      <c r="R148" s="45"/>
      <c r="T148" s="45"/>
      <c r="V148" s="45"/>
    </row>
    <row r="149">
      <c r="O149" s="41"/>
      <c r="P149" s="45"/>
      <c r="R149" s="45"/>
      <c r="T149" s="45"/>
      <c r="V149" s="45"/>
    </row>
    <row r="150">
      <c r="A150" s="1" t="s">
        <v>34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45"/>
      <c r="R150" s="45"/>
      <c r="T150" s="45"/>
      <c r="V150" s="45"/>
    </row>
    <row r="151">
      <c r="A151" s="4" t="s">
        <v>1</v>
      </c>
      <c r="B151" s="4" t="s">
        <v>2</v>
      </c>
      <c r="C151" s="6" t="s">
        <v>3</v>
      </c>
      <c r="D151" s="6" t="s">
        <v>4</v>
      </c>
      <c r="E151" s="6" t="s">
        <v>5</v>
      </c>
      <c r="F151" s="6" t="s">
        <v>6</v>
      </c>
      <c r="G151" s="6" t="s">
        <v>7</v>
      </c>
      <c r="H151" s="6" t="s">
        <v>8</v>
      </c>
      <c r="I151" s="6" t="s">
        <v>9</v>
      </c>
      <c r="J151" s="6" t="s">
        <v>10</v>
      </c>
      <c r="K151" s="6" t="s">
        <v>11</v>
      </c>
      <c r="L151" s="6" t="s">
        <v>12</v>
      </c>
      <c r="M151" s="7" t="s">
        <v>13</v>
      </c>
      <c r="N151" s="7" t="s">
        <v>14</v>
      </c>
      <c r="O151" s="8" t="s">
        <v>15</v>
      </c>
      <c r="P151" s="45"/>
      <c r="R151" s="45"/>
      <c r="T151" s="45"/>
      <c r="V151" s="45"/>
    </row>
    <row r="152">
      <c r="A152" s="124" t="s">
        <v>16</v>
      </c>
      <c r="B152" s="125" t="s">
        <v>17</v>
      </c>
      <c r="C152" s="126">
        <v>220.0</v>
      </c>
      <c r="D152" s="126">
        <v>170.0</v>
      </c>
      <c r="E152" s="126">
        <v>180.0</v>
      </c>
      <c r="F152" s="126">
        <v>180.0</v>
      </c>
      <c r="G152" s="126">
        <v>210.0</v>
      </c>
      <c r="H152" s="126">
        <v>210.0</v>
      </c>
      <c r="I152" s="126">
        <v>200.0</v>
      </c>
      <c r="J152" s="126">
        <v>220.0</v>
      </c>
      <c r="K152" s="126">
        <v>660.0</v>
      </c>
      <c r="L152" s="126">
        <v>220.0</v>
      </c>
      <c r="M152" s="127">
        <f t="shared" ref="M152:M161" si="34">AVERAGE(C152:L152)</f>
        <v>247</v>
      </c>
      <c r="N152" s="128">
        <f t="shared" ref="N152:N161" si="35">MAX(C152:L152)</f>
        <v>660</v>
      </c>
      <c r="O152" s="129">
        <f t="shared" ref="O152:O161" si="36">_xlfn.PERCENTILE.INC(C152:L152, 0.9)</f>
        <v>264</v>
      </c>
      <c r="P152" s="45"/>
      <c r="R152" s="45"/>
      <c r="T152" s="45"/>
      <c r="V152" s="45"/>
    </row>
    <row r="153">
      <c r="A153" s="32"/>
      <c r="B153" s="130" t="s">
        <v>18</v>
      </c>
      <c r="C153" s="126">
        <v>229.973</v>
      </c>
      <c r="D153" s="126">
        <v>172.864</v>
      </c>
      <c r="E153" s="126">
        <v>190.737</v>
      </c>
      <c r="F153" s="126">
        <v>187.722</v>
      </c>
      <c r="G153" s="126">
        <v>204.101</v>
      </c>
      <c r="H153" s="126">
        <v>207.432</v>
      </c>
      <c r="I153" s="126">
        <v>196.242</v>
      </c>
      <c r="J153" s="126">
        <v>226.956</v>
      </c>
      <c r="K153" s="126">
        <v>648.687</v>
      </c>
      <c r="L153" s="126">
        <v>232.339</v>
      </c>
      <c r="M153" s="131">
        <f t="shared" si="34"/>
        <v>249.7053</v>
      </c>
      <c r="N153" s="132">
        <f t="shared" si="35"/>
        <v>648.687</v>
      </c>
      <c r="O153" s="133">
        <f t="shared" si="36"/>
        <v>273.9738</v>
      </c>
      <c r="P153" s="45"/>
      <c r="R153" s="45"/>
      <c r="T153" s="45"/>
      <c r="V153" s="45"/>
    </row>
    <row r="154">
      <c r="A154" s="25" t="s">
        <v>19</v>
      </c>
      <c r="B154" s="5" t="s">
        <v>17</v>
      </c>
      <c r="C154" s="27">
        <v>780.0</v>
      </c>
      <c r="D154" s="27">
        <v>350.0</v>
      </c>
      <c r="E154" s="27">
        <v>400.0</v>
      </c>
      <c r="F154" s="27">
        <v>410.0</v>
      </c>
      <c r="G154" s="27">
        <v>410.0</v>
      </c>
      <c r="H154" s="27">
        <v>370.0</v>
      </c>
      <c r="I154" s="27">
        <v>470.0</v>
      </c>
      <c r="J154" s="27">
        <v>610.0</v>
      </c>
      <c r="K154" s="27">
        <v>510.0</v>
      </c>
      <c r="L154" s="27">
        <v>370.0</v>
      </c>
      <c r="M154" s="29">
        <f t="shared" si="34"/>
        <v>468</v>
      </c>
      <c r="N154" s="30">
        <f t="shared" si="35"/>
        <v>780</v>
      </c>
      <c r="O154" s="31">
        <f t="shared" si="36"/>
        <v>627</v>
      </c>
      <c r="P154" s="45"/>
      <c r="R154" s="45"/>
      <c r="T154" s="45"/>
      <c r="V154" s="45"/>
    </row>
    <row r="155">
      <c r="A155" s="32"/>
      <c r="B155" s="62" t="s">
        <v>18</v>
      </c>
      <c r="C155" s="27">
        <v>786.049</v>
      </c>
      <c r="D155" s="27">
        <v>347.2</v>
      </c>
      <c r="E155" s="27">
        <v>395.676</v>
      </c>
      <c r="F155" s="27">
        <v>402.326</v>
      </c>
      <c r="G155" s="27">
        <v>411.344</v>
      </c>
      <c r="H155" s="27">
        <v>374.456</v>
      </c>
      <c r="I155" s="27">
        <v>461.706</v>
      </c>
      <c r="J155" s="27">
        <v>613.189</v>
      </c>
      <c r="K155" s="27">
        <v>499.515</v>
      </c>
      <c r="L155" s="27">
        <v>372.638</v>
      </c>
      <c r="M155" s="63">
        <f t="shared" si="34"/>
        <v>466.4099</v>
      </c>
      <c r="N155" s="30">
        <f t="shared" si="35"/>
        <v>786.049</v>
      </c>
      <c r="O155" s="31">
        <f t="shared" si="36"/>
        <v>630.475</v>
      </c>
      <c r="P155" s="45"/>
      <c r="R155" s="45"/>
      <c r="T155" s="45"/>
      <c r="V155" s="45"/>
    </row>
    <row r="156">
      <c r="A156" s="124" t="s">
        <v>20</v>
      </c>
      <c r="B156" s="125" t="s">
        <v>17</v>
      </c>
      <c r="C156" s="126">
        <v>2120.0</v>
      </c>
      <c r="D156" s="126">
        <v>660.0</v>
      </c>
      <c r="E156" s="126">
        <v>1850.0</v>
      </c>
      <c r="F156" s="126">
        <v>2110.0</v>
      </c>
      <c r="G156" s="126">
        <v>790.0</v>
      </c>
      <c r="H156" s="126">
        <v>670.0</v>
      </c>
      <c r="I156" s="126">
        <v>770.0</v>
      </c>
      <c r="J156" s="126">
        <v>650.0</v>
      </c>
      <c r="K156" s="126">
        <v>2080.0</v>
      </c>
      <c r="L156" s="126">
        <v>1530.0</v>
      </c>
      <c r="M156" s="134">
        <f t="shared" si="34"/>
        <v>1323</v>
      </c>
      <c r="N156" s="132">
        <f t="shared" si="35"/>
        <v>2120</v>
      </c>
      <c r="O156" s="133">
        <f t="shared" si="36"/>
        <v>2111</v>
      </c>
      <c r="P156" s="45"/>
      <c r="R156" s="45"/>
      <c r="T156" s="45"/>
      <c r="V156" s="45"/>
    </row>
    <row r="157">
      <c r="A157" s="32"/>
      <c r="B157" s="135" t="s">
        <v>18</v>
      </c>
      <c r="C157" s="126">
        <v>2123.61</v>
      </c>
      <c r="D157" s="126">
        <v>663.542</v>
      </c>
      <c r="E157" s="126">
        <v>1865.25</v>
      </c>
      <c r="F157" s="126">
        <v>2115.79</v>
      </c>
      <c r="G157" s="126">
        <v>791.939</v>
      </c>
      <c r="H157" s="126">
        <v>670.839</v>
      </c>
      <c r="I157" s="126">
        <v>773.967</v>
      </c>
      <c r="J157" s="126">
        <v>648.428</v>
      </c>
      <c r="K157" s="126">
        <v>2074.42</v>
      </c>
      <c r="L157" s="126">
        <v>1534.51</v>
      </c>
      <c r="M157" s="131">
        <f t="shared" si="34"/>
        <v>1326.2295</v>
      </c>
      <c r="N157" s="132">
        <f t="shared" si="35"/>
        <v>2123.61</v>
      </c>
      <c r="O157" s="133">
        <f t="shared" si="36"/>
        <v>2116.572</v>
      </c>
      <c r="P157" s="45"/>
      <c r="R157" s="45"/>
      <c r="T157" s="45"/>
      <c r="V157" s="45"/>
    </row>
    <row r="158">
      <c r="A158" s="25" t="s">
        <v>21</v>
      </c>
      <c r="B158" s="5" t="s">
        <v>17</v>
      </c>
      <c r="C158" s="27">
        <v>1920.0</v>
      </c>
      <c r="D158" s="27">
        <v>2540.0</v>
      </c>
      <c r="E158" s="27">
        <v>4200.0</v>
      </c>
      <c r="F158" s="27">
        <v>2290.0</v>
      </c>
      <c r="G158" s="27">
        <v>3880.0</v>
      </c>
      <c r="H158" s="27">
        <v>2020.0</v>
      </c>
      <c r="I158" s="27">
        <v>2130.0</v>
      </c>
      <c r="J158" s="27">
        <v>1560.0</v>
      </c>
      <c r="K158" s="27">
        <v>2750.0</v>
      </c>
      <c r="L158" s="27">
        <v>3140.0</v>
      </c>
      <c r="M158" s="29">
        <f t="shared" si="34"/>
        <v>2643</v>
      </c>
      <c r="N158" s="30">
        <f t="shared" si="35"/>
        <v>4200</v>
      </c>
      <c r="O158" s="31">
        <f t="shared" si="36"/>
        <v>3912</v>
      </c>
      <c r="P158" s="45"/>
      <c r="R158" s="45"/>
      <c r="T158" s="45"/>
      <c r="V158" s="45"/>
    </row>
    <row r="159">
      <c r="A159" s="32"/>
      <c r="B159" s="62" t="s">
        <v>18</v>
      </c>
      <c r="C159" s="27">
        <v>1923.32</v>
      </c>
      <c r="D159" s="27">
        <v>2560.67</v>
      </c>
      <c r="E159" s="27">
        <v>4206.99</v>
      </c>
      <c r="F159" s="27">
        <v>2295.77</v>
      </c>
      <c r="G159" s="27">
        <v>3892.72</v>
      </c>
      <c r="H159" s="27">
        <v>2029.03</v>
      </c>
      <c r="I159" s="27">
        <v>2147.35</v>
      </c>
      <c r="J159" s="27">
        <v>1555.73</v>
      </c>
      <c r="K159" s="27">
        <v>2759.2</v>
      </c>
      <c r="L159" s="27">
        <v>3140.86</v>
      </c>
      <c r="M159" s="63">
        <f t="shared" si="34"/>
        <v>2651.164</v>
      </c>
      <c r="N159" s="30">
        <f t="shared" si="35"/>
        <v>4206.99</v>
      </c>
      <c r="O159" s="31">
        <f t="shared" si="36"/>
        <v>3924.147</v>
      </c>
      <c r="P159" s="45"/>
      <c r="R159" s="45"/>
      <c r="T159" s="45"/>
      <c r="V159" s="45"/>
    </row>
    <row r="160">
      <c r="A160" s="124" t="s">
        <v>22</v>
      </c>
      <c r="B160" s="125" t="s">
        <v>17</v>
      </c>
      <c r="C160" s="126">
        <v>7100.0</v>
      </c>
      <c r="D160" s="126">
        <v>7820.0</v>
      </c>
      <c r="E160" s="126">
        <v>6560.0</v>
      </c>
      <c r="F160" s="126">
        <v>3600.0</v>
      </c>
      <c r="G160" s="126">
        <v>5210.0</v>
      </c>
      <c r="H160" s="126">
        <v>8170.0</v>
      </c>
      <c r="I160" s="126">
        <v>5300.0</v>
      </c>
      <c r="J160" s="126">
        <v>4500.0</v>
      </c>
      <c r="K160" s="126">
        <v>6490.0</v>
      </c>
      <c r="L160" s="126">
        <v>5430.0</v>
      </c>
      <c r="M160" s="134">
        <f t="shared" si="34"/>
        <v>6018</v>
      </c>
      <c r="N160" s="132">
        <f t="shared" si="35"/>
        <v>8170</v>
      </c>
      <c r="O160" s="133">
        <f t="shared" si="36"/>
        <v>7855</v>
      </c>
      <c r="P160" s="45"/>
      <c r="R160" s="45"/>
      <c r="T160" s="45"/>
      <c r="V160" s="45"/>
    </row>
    <row r="161">
      <c r="A161" s="32"/>
      <c r="B161" s="136" t="s">
        <v>18</v>
      </c>
      <c r="C161" s="137">
        <v>7121.07</v>
      </c>
      <c r="D161" s="137">
        <v>7849.94</v>
      </c>
      <c r="E161" s="137">
        <v>6580.12</v>
      </c>
      <c r="F161" s="137">
        <v>3603.57</v>
      </c>
      <c r="G161" s="137">
        <v>5228.44</v>
      </c>
      <c r="H161" s="137">
        <v>8174.94</v>
      </c>
      <c r="I161" s="137">
        <v>5310.28</v>
      </c>
      <c r="J161" s="137">
        <v>4512.09</v>
      </c>
      <c r="K161" s="137">
        <v>6502.21</v>
      </c>
      <c r="L161" s="137">
        <v>5445.6</v>
      </c>
      <c r="M161" s="138">
        <f t="shared" si="34"/>
        <v>6032.826</v>
      </c>
      <c r="N161" s="139">
        <f t="shared" si="35"/>
        <v>8174.94</v>
      </c>
      <c r="O161" s="140">
        <f t="shared" si="36"/>
        <v>7882.44</v>
      </c>
      <c r="P161" s="45"/>
      <c r="R161" s="45"/>
      <c r="T161" s="45"/>
      <c r="V161" s="45"/>
    </row>
    <row r="162">
      <c r="O162" s="41"/>
      <c r="P162" s="45"/>
      <c r="R162" s="45"/>
      <c r="T162" s="45"/>
      <c r="V162" s="45"/>
    </row>
    <row r="163">
      <c r="A163" s="74"/>
      <c r="P163" s="45"/>
      <c r="R163" s="45"/>
      <c r="T163" s="45"/>
      <c r="V163" s="45"/>
    </row>
    <row r="164">
      <c r="O164" s="41"/>
      <c r="P164" s="45"/>
      <c r="R164" s="45"/>
      <c r="T164" s="45"/>
      <c r="V164" s="45"/>
    </row>
    <row r="165">
      <c r="A165" s="1" t="s">
        <v>35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45"/>
      <c r="R165" s="45"/>
      <c r="T165" s="45"/>
      <c r="V165" s="45"/>
    </row>
    <row r="166">
      <c r="A166" s="4" t="s">
        <v>1</v>
      </c>
      <c r="B166" s="4" t="s">
        <v>2</v>
      </c>
      <c r="C166" s="6" t="s">
        <v>3</v>
      </c>
      <c r="D166" s="6" t="s">
        <v>4</v>
      </c>
      <c r="E166" s="6" t="s">
        <v>5</v>
      </c>
      <c r="F166" s="6" t="s">
        <v>6</v>
      </c>
      <c r="G166" s="6" t="s">
        <v>7</v>
      </c>
      <c r="H166" s="6" t="s">
        <v>8</v>
      </c>
      <c r="I166" s="6" t="s">
        <v>9</v>
      </c>
      <c r="J166" s="6" t="s">
        <v>10</v>
      </c>
      <c r="K166" s="6" t="s">
        <v>11</v>
      </c>
      <c r="L166" s="6" t="s">
        <v>12</v>
      </c>
      <c r="M166" s="7" t="s">
        <v>13</v>
      </c>
      <c r="N166" s="7" t="s">
        <v>14</v>
      </c>
      <c r="O166" s="8" t="s">
        <v>15</v>
      </c>
      <c r="P166" s="45"/>
      <c r="R166" s="45"/>
      <c r="T166" s="45"/>
      <c r="V166" s="45"/>
    </row>
    <row r="167">
      <c r="A167" s="141" t="s">
        <v>16</v>
      </c>
      <c r="B167" s="142" t="s">
        <v>17</v>
      </c>
      <c r="C167" s="143">
        <v>480.0</v>
      </c>
      <c r="D167" s="143">
        <v>290.0</v>
      </c>
      <c r="E167" s="143">
        <v>440.0</v>
      </c>
      <c r="F167" s="143">
        <v>340.0</v>
      </c>
      <c r="G167" s="143">
        <v>220.0</v>
      </c>
      <c r="H167" s="143">
        <v>310.0</v>
      </c>
      <c r="I167" s="143">
        <v>250.0</v>
      </c>
      <c r="J167" s="143">
        <v>230.0</v>
      </c>
      <c r="K167" s="143">
        <v>310.0</v>
      </c>
      <c r="L167" s="143">
        <v>370.0</v>
      </c>
      <c r="M167" s="144">
        <f t="shared" ref="M167:M176" si="37">AVERAGE(C167:L167)</f>
        <v>324</v>
      </c>
      <c r="N167" s="145">
        <f t="shared" ref="N167:N176" si="38">MAX(C167:L167)</f>
        <v>480</v>
      </c>
      <c r="O167" s="146">
        <f t="shared" ref="O167:O176" si="39">_xlfn.PERCENTILE.INC(C167:L167, 0.9)</f>
        <v>444</v>
      </c>
      <c r="P167" s="45"/>
      <c r="R167" s="45"/>
      <c r="T167" s="45"/>
      <c r="V167" s="45"/>
    </row>
    <row r="168">
      <c r="A168" s="32"/>
      <c r="B168" s="147" t="s">
        <v>18</v>
      </c>
      <c r="C168" s="143">
        <v>483.135</v>
      </c>
      <c r="D168" s="143">
        <v>289.078</v>
      </c>
      <c r="E168" s="143">
        <v>434.875</v>
      </c>
      <c r="F168" s="143">
        <v>347.314</v>
      </c>
      <c r="G168" s="143">
        <v>218.344</v>
      </c>
      <c r="H168" s="143">
        <v>308.286</v>
      </c>
      <c r="I168" s="143">
        <v>252.042</v>
      </c>
      <c r="J168" s="143">
        <v>229.103</v>
      </c>
      <c r="K168" s="143">
        <v>310.864</v>
      </c>
      <c r="L168" s="143">
        <v>367.068</v>
      </c>
      <c r="M168" s="148">
        <f t="shared" si="37"/>
        <v>324.0109</v>
      </c>
      <c r="N168" s="149">
        <f t="shared" si="38"/>
        <v>483.135</v>
      </c>
      <c r="O168" s="150">
        <f t="shared" si="39"/>
        <v>439.701</v>
      </c>
      <c r="P168" s="45"/>
      <c r="R168" s="45"/>
      <c r="T168" s="45"/>
      <c r="V168" s="45"/>
    </row>
    <row r="169">
      <c r="A169" s="25" t="s">
        <v>19</v>
      </c>
      <c r="B169" s="5" t="s">
        <v>17</v>
      </c>
      <c r="C169" s="27">
        <v>830.0</v>
      </c>
      <c r="D169" s="27">
        <v>720.0</v>
      </c>
      <c r="E169" s="27">
        <v>900.0</v>
      </c>
      <c r="F169" s="27">
        <v>720.0</v>
      </c>
      <c r="G169" s="27">
        <v>370.0</v>
      </c>
      <c r="H169" s="27">
        <v>470.0</v>
      </c>
      <c r="I169" s="27">
        <v>740.0</v>
      </c>
      <c r="J169" s="27">
        <v>710.0</v>
      </c>
      <c r="K169" s="27">
        <v>400.0</v>
      </c>
      <c r="L169" s="27">
        <v>460.0</v>
      </c>
      <c r="M169" s="29">
        <f t="shared" si="37"/>
        <v>632</v>
      </c>
      <c r="N169" s="30">
        <f t="shared" si="38"/>
        <v>900</v>
      </c>
      <c r="O169" s="31">
        <f t="shared" si="39"/>
        <v>837</v>
      </c>
      <c r="P169" s="45"/>
      <c r="R169" s="45"/>
      <c r="T169" s="45"/>
      <c r="V169" s="45"/>
    </row>
    <row r="170">
      <c r="A170" s="32"/>
      <c r="B170" s="62" t="s">
        <v>18</v>
      </c>
      <c r="C170" s="27">
        <v>827.943</v>
      </c>
      <c r="D170" s="27">
        <v>724.74</v>
      </c>
      <c r="E170" s="27">
        <v>903.537</v>
      </c>
      <c r="F170" s="27">
        <v>718.346</v>
      </c>
      <c r="G170" s="27">
        <v>368.517</v>
      </c>
      <c r="H170" s="27">
        <v>470.303</v>
      </c>
      <c r="I170" s="27">
        <v>747.667</v>
      </c>
      <c r="J170" s="27">
        <v>706.799</v>
      </c>
      <c r="K170" s="27">
        <v>396.27</v>
      </c>
      <c r="L170" s="27">
        <v>461.787</v>
      </c>
      <c r="M170" s="63">
        <f t="shared" si="37"/>
        <v>632.5909</v>
      </c>
      <c r="N170" s="30">
        <f t="shared" si="38"/>
        <v>903.537</v>
      </c>
      <c r="O170" s="31">
        <f t="shared" si="39"/>
        <v>835.5024</v>
      </c>
      <c r="P170" s="45"/>
      <c r="R170" s="45"/>
      <c r="T170" s="45"/>
      <c r="V170" s="45"/>
    </row>
    <row r="171">
      <c r="A171" s="141" t="s">
        <v>20</v>
      </c>
      <c r="B171" s="142" t="s">
        <v>17</v>
      </c>
      <c r="C171" s="143">
        <v>1820.0</v>
      </c>
      <c r="D171" s="143">
        <v>1920.0</v>
      </c>
      <c r="E171" s="143">
        <v>1950.0</v>
      </c>
      <c r="F171" s="143">
        <v>1960.0</v>
      </c>
      <c r="G171" s="143">
        <v>2270.0</v>
      </c>
      <c r="H171" s="143">
        <v>1280.0</v>
      </c>
      <c r="I171" s="143">
        <v>1270.0</v>
      </c>
      <c r="J171" s="143">
        <v>1390.0</v>
      </c>
      <c r="K171" s="143">
        <v>760.0</v>
      </c>
      <c r="L171" s="143">
        <v>1070.0</v>
      </c>
      <c r="M171" s="151">
        <f t="shared" si="37"/>
        <v>1569</v>
      </c>
      <c r="N171" s="149">
        <f t="shared" si="38"/>
        <v>2270</v>
      </c>
      <c r="O171" s="150">
        <f t="shared" si="39"/>
        <v>1991</v>
      </c>
      <c r="P171" s="45"/>
      <c r="R171" s="45"/>
      <c r="T171" s="45"/>
      <c r="V171" s="45"/>
    </row>
    <row r="172">
      <c r="A172" s="32"/>
      <c r="B172" s="152" t="s">
        <v>18</v>
      </c>
      <c r="C172" s="143">
        <v>1825.0</v>
      </c>
      <c r="D172" s="143">
        <v>1919.68</v>
      </c>
      <c r="E172" s="143">
        <v>1955.37</v>
      </c>
      <c r="F172" s="143">
        <v>1962.53</v>
      </c>
      <c r="G172" s="143">
        <v>2271.54</v>
      </c>
      <c r="H172" s="143">
        <v>1280.79</v>
      </c>
      <c r="I172" s="143">
        <v>1274.54</v>
      </c>
      <c r="J172" s="143">
        <v>1396.43</v>
      </c>
      <c r="K172" s="143">
        <v>759.181</v>
      </c>
      <c r="L172" s="143">
        <v>1065.51</v>
      </c>
      <c r="M172" s="148">
        <f t="shared" si="37"/>
        <v>1571.0571</v>
      </c>
      <c r="N172" s="149">
        <f t="shared" si="38"/>
        <v>2271.54</v>
      </c>
      <c r="O172" s="150">
        <f t="shared" si="39"/>
        <v>1993.431</v>
      </c>
      <c r="P172" s="45"/>
      <c r="R172" s="45"/>
      <c r="T172" s="45"/>
      <c r="V172" s="45"/>
    </row>
    <row r="173">
      <c r="A173" s="25" t="s">
        <v>21</v>
      </c>
      <c r="B173" s="5" t="s">
        <v>17</v>
      </c>
      <c r="C173" s="27">
        <v>3470.0</v>
      </c>
      <c r="D173" s="27">
        <v>3490.0</v>
      </c>
      <c r="E173" s="27">
        <v>2670.0</v>
      </c>
      <c r="F173" s="27">
        <v>3380.0</v>
      </c>
      <c r="G173" s="27">
        <v>2520.0</v>
      </c>
      <c r="H173" s="27">
        <v>3000.0</v>
      </c>
      <c r="I173" s="27">
        <v>2390.0</v>
      </c>
      <c r="J173" s="27">
        <v>1550.0</v>
      </c>
      <c r="K173" s="27">
        <v>1460.0</v>
      </c>
      <c r="L173" s="27">
        <v>1460.0</v>
      </c>
      <c r="M173" s="29">
        <f t="shared" si="37"/>
        <v>2539</v>
      </c>
      <c r="N173" s="30">
        <f t="shared" si="38"/>
        <v>3490</v>
      </c>
      <c r="O173" s="31">
        <f t="shared" si="39"/>
        <v>3472</v>
      </c>
      <c r="P173" s="45"/>
      <c r="R173" s="45"/>
      <c r="T173" s="45"/>
      <c r="V173" s="45"/>
    </row>
    <row r="174">
      <c r="A174" s="32"/>
      <c r="B174" s="62" t="s">
        <v>18</v>
      </c>
      <c r="C174" s="27">
        <v>3468.47</v>
      </c>
      <c r="D174" s="27">
        <v>3494.12</v>
      </c>
      <c r="E174" s="27">
        <v>2670.14</v>
      </c>
      <c r="F174" s="27">
        <v>3394.08</v>
      </c>
      <c r="G174" s="27">
        <v>2523.49</v>
      </c>
      <c r="H174" s="27">
        <v>3002.6</v>
      </c>
      <c r="I174" s="27">
        <v>2394.14</v>
      </c>
      <c r="J174" s="27">
        <v>1547.7</v>
      </c>
      <c r="K174" s="27">
        <v>1454.51</v>
      </c>
      <c r="L174" s="27">
        <v>1463.9</v>
      </c>
      <c r="M174" s="63">
        <f t="shared" si="37"/>
        <v>2541.315</v>
      </c>
      <c r="N174" s="30">
        <f t="shared" si="38"/>
        <v>3494.12</v>
      </c>
      <c r="O174" s="31">
        <f t="shared" si="39"/>
        <v>3471.035</v>
      </c>
      <c r="P174" s="45"/>
      <c r="R174" s="45"/>
      <c r="T174" s="45"/>
      <c r="V174" s="45"/>
    </row>
    <row r="175">
      <c r="A175" s="141" t="s">
        <v>22</v>
      </c>
      <c r="B175" s="142" t="s">
        <v>17</v>
      </c>
      <c r="C175" s="143">
        <v>5970.0</v>
      </c>
      <c r="D175" s="143">
        <v>6070.0</v>
      </c>
      <c r="E175" s="143">
        <v>6020.0</v>
      </c>
      <c r="F175" s="143">
        <v>6200.0</v>
      </c>
      <c r="G175" s="143">
        <v>4810.0</v>
      </c>
      <c r="H175" s="143">
        <v>5390.0</v>
      </c>
      <c r="I175" s="143">
        <v>9440.0</v>
      </c>
      <c r="J175" s="143">
        <v>3200.0</v>
      </c>
      <c r="K175" s="143">
        <v>4420.0</v>
      </c>
      <c r="L175" s="143">
        <v>8590.0</v>
      </c>
      <c r="M175" s="151">
        <f t="shared" si="37"/>
        <v>6011</v>
      </c>
      <c r="N175" s="149">
        <f t="shared" si="38"/>
        <v>9440</v>
      </c>
      <c r="O175" s="150">
        <f t="shared" si="39"/>
        <v>8675</v>
      </c>
      <c r="P175" s="45"/>
      <c r="R175" s="45"/>
      <c r="T175" s="45"/>
      <c r="V175" s="45"/>
    </row>
    <row r="176">
      <c r="A176" s="32"/>
      <c r="B176" s="153" t="s">
        <v>18</v>
      </c>
      <c r="C176" s="154">
        <v>5986.18</v>
      </c>
      <c r="D176" s="154">
        <v>6085.13</v>
      </c>
      <c r="E176" s="154">
        <v>6037.58</v>
      </c>
      <c r="F176" s="154">
        <v>6216.46</v>
      </c>
      <c r="G176" s="154">
        <v>4810.2</v>
      </c>
      <c r="H176" s="154">
        <v>5404.35</v>
      </c>
      <c r="I176" s="154">
        <v>9465.05</v>
      </c>
      <c r="J176" s="154">
        <v>3210.31</v>
      </c>
      <c r="K176" s="154">
        <v>4421.82</v>
      </c>
      <c r="L176" s="154">
        <v>8613.7</v>
      </c>
      <c r="M176" s="155">
        <f t="shared" si="37"/>
        <v>6025.078</v>
      </c>
      <c r="N176" s="156">
        <f t="shared" si="38"/>
        <v>9465.05</v>
      </c>
      <c r="O176" s="157">
        <f t="shared" si="39"/>
        <v>8698.835</v>
      </c>
      <c r="P176" s="45"/>
      <c r="R176" s="45"/>
      <c r="T176" s="45"/>
      <c r="V176" s="45"/>
    </row>
    <row r="177">
      <c r="O177" s="41"/>
      <c r="P177" s="45"/>
      <c r="R177" s="45"/>
      <c r="T177" s="45"/>
      <c r="V177" s="45"/>
    </row>
    <row r="178">
      <c r="A178" s="1" t="s">
        <v>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45"/>
      <c r="R178" s="45"/>
      <c r="T178" s="45"/>
      <c r="V178" s="45"/>
    </row>
    <row r="179">
      <c r="A179" s="4" t="s">
        <v>1</v>
      </c>
      <c r="B179" s="4" t="s">
        <v>2</v>
      </c>
      <c r="C179" s="6" t="s">
        <v>3</v>
      </c>
      <c r="D179" s="6" t="s">
        <v>4</v>
      </c>
      <c r="E179" s="6" t="s">
        <v>5</v>
      </c>
      <c r="F179" s="6" t="s">
        <v>6</v>
      </c>
      <c r="G179" s="6" t="s">
        <v>7</v>
      </c>
      <c r="H179" s="6" t="s">
        <v>8</v>
      </c>
      <c r="I179" s="6" t="s">
        <v>9</v>
      </c>
      <c r="J179" s="6" t="s">
        <v>10</v>
      </c>
      <c r="K179" s="6" t="s">
        <v>11</v>
      </c>
      <c r="L179" s="6" t="s">
        <v>12</v>
      </c>
      <c r="M179" s="7" t="s">
        <v>13</v>
      </c>
      <c r="N179" s="7" t="s">
        <v>14</v>
      </c>
      <c r="O179" s="8" t="s">
        <v>15</v>
      </c>
      <c r="P179" s="45"/>
      <c r="R179" s="45"/>
      <c r="T179" s="45"/>
      <c r="V179" s="45"/>
    </row>
    <row r="180">
      <c r="A180" s="141" t="s">
        <v>16</v>
      </c>
      <c r="B180" s="142" t="s">
        <v>17</v>
      </c>
      <c r="C180" s="143">
        <v>130.0</v>
      </c>
      <c r="D180" s="143">
        <v>110.0</v>
      </c>
      <c r="E180" s="143">
        <v>130.0</v>
      </c>
      <c r="F180" s="143">
        <v>130.0</v>
      </c>
      <c r="G180" s="143">
        <v>130.0</v>
      </c>
      <c r="H180" s="143">
        <v>130.0</v>
      </c>
      <c r="I180" s="143">
        <v>120.0</v>
      </c>
      <c r="J180" s="143">
        <v>120.0</v>
      </c>
      <c r="K180" s="143">
        <v>120.0</v>
      </c>
      <c r="L180" s="143">
        <v>120.0</v>
      </c>
      <c r="M180" s="144">
        <f t="shared" ref="M180:M189" si="40">AVERAGE(C180:L180)</f>
        <v>124</v>
      </c>
      <c r="N180" s="145">
        <f t="shared" ref="N180:N189" si="41">MAX(C180:L180)</f>
        <v>130</v>
      </c>
      <c r="O180" s="146">
        <f t="shared" ref="O180:O189" si="42">_xlfn.PERCENTILE.INC(C180:L180, 0.9)</f>
        <v>130</v>
      </c>
      <c r="P180" s="45"/>
      <c r="R180" s="45"/>
      <c r="T180" s="45"/>
      <c r="V180" s="45"/>
    </row>
    <row r="181">
      <c r="A181" s="32"/>
      <c r="B181" s="147" t="s">
        <v>18</v>
      </c>
      <c r="C181" s="143">
        <v>124.004</v>
      </c>
      <c r="D181" s="143">
        <v>123.998</v>
      </c>
      <c r="E181" s="143">
        <v>131.178</v>
      </c>
      <c r="F181" s="143">
        <v>124.082</v>
      </c>
      <c r="G181" s="143">
        <v>123.513</v>
      </c>
      <c r="H181" s="143">
        <v>122.978</v>
      </c>
      <c r="I181" s="143">
        <v>123.182</v>
      </c>
      <c r="J181" s="143">
        <v>123.081</v>
      </c>
      <c r="K181" s="143">
        <v>123.155</v>
      </c>
      <c r="L181" s="143">
        <v>123.321</v>
      </c>
      <c r="M181" s="148">
        <f t="shared" si="40"/>
        <v>124.2492</v>
      </c>
      <c r="N181" s="149">
        <f t="shared" si="41"/>
        <v>131.178</v>
      </c>
      <c r="O181" s="150">
        <f t="shared" si="42"/>
        <v>124.7916</v>
      </c>
      <c r="P181" s="45"/>
      <c r="R181" s="45"/>
      <c r="T181" s="45"/>
      <c r="V181" s="45"/>
    </row>
    <row r="182">
      <c r="A182" s="25" t="s">
        <v>19</v>
      </c>
      <c r="B182" s="5" t="s">
        <v>17</v>
      </c>
      <c r="C182" s="27">
        <v>230.0</v>
      </c>
      <c r="D182" s="27">
        <v>230.0</v>
      </c>
      <c r="E182" s="27">
        <v>240.0</v>
      </c>
      <c r="F182" s="27">
        <v>230.0</v>
      </c>
      <c r="G182" s="27">
        <v>230.0</v>
      </c>
      <c r="H182" s="27">
        <v>240.0</v>
      </c>
      <c r="I182" s="27">
        <v>240.0</v>
      </c>
      <c r="J182" s="27">
        <v>230.0</v>
      </c>
      <c r="K182" s="27">
        <v>230.0</v>
      </c>
      <c r="L182" s="27">
        <v>240.0</v>
      </c>
      <c r="M182" s="29">
        <f t="shared" si="40"/>
        <v>234</v>
      </c>
      <c r="N182" s="30">
        <f t="shared" si="41"/>
        <v>240</v>
      </c>
      <c r="O182" s="31">
        <f t="shared" si="42"/>
        <v>240</v>
      </c>
      <c r="P182" s="45"/>
      <c r="R182" s="45"/>
      <c r="T182" s="45"/>
      <c r="V182" s="45"/>
    </row>
    <row r="183">
      <c r="A183" s="32"/>
      <c r="B183" s="62" t="s">
        <v>18</v>
      </c>
      <c r="C183" s="27">
        <v>234.141</v>
      </c>
      <c r="D183" s="27">
        <v>234.055</v>
      </c>
      <c r="E183" s="27">
        <v>234.403</v>
      </c>
      <c r="F183" s="27">
        <v>234.003</v>
      </c>
      <c r="G183" s="27">
        <v>234.117</v>
      </c>
      <c r="H183" s="27">
        <v>234.368</v>
      </c>
      <c r="I183" s="27">
        <v>233.532</v>
      </c>
      <c r="J183" s="27">
        <v>234.391</v>
      </c>
      <c r="K183" s="27">
        <v>233.562</v>
      </c>
      <c r="L183" s="27">
        <v>237.468</v>
      </c>
      <c r="M183" s="63">
        <f t="shared" si="40"/>
        <v>234.404</v>
      </c>
      <c r="N183" s="30">
        <f t="shared" si="41"/>
        <v>237.468</v>
      </c>
      <c r="O183" s="31">
        <f t="shared" si="42"/>
        <v>234.7095</v>
      </c>
      <c r="P183" s="45"/>
      <c r="R183" s="45"/>
      <c r="T183" s="45"/>
      <c r="V183" s="45"/>
    </row>
    <row r="184">
      <c r="A184" s="141" t="s">
        <v>20</v>
      </c>
      <c r="B184" s="142" t="s">
        <v>17</v>
      </c>
      <c r="C184" s="143">
        <v>430.0</v>
      </c>
      <c r="D184" s="143">
        <v>430.0</v>
      </c>
      <c r="E184" s="143">
        <v>430.0</v>
      </c>
      <c r="F184" s="143">
        <v>440.0</v>
      </c>
      <c r="G184" s="143">
        <v>450.0</v>
      </c>
      <c r="H184" s="143">
        <v>450.0</v>
      </c>
      <c r="I184" s="143">
        <v>450.0</v>
      </c>
      <c r="J184" s="143">
        <v>450.0</v>
      </c>
      <c r="K184" s="143">
        <v>450.0</v>
      </c>
      <c r="L184" s="143">
        <v>450.0</v>
      </c>
      <c r="M184" s="151">
        <f t="shared" si="40"/>
        <v>443</v>
      </c>
      <c r="N184" s="149">
        <f t="shared" si="41"/>
        <v>450</v>
      </c>
      <c r="O184" s="150">
        <f t="shared" si="42"/>
        <v>450</v>
      </c>
      <c r="P184" s="45"/>
      <c r="R184" s="45"/>
      <c r="T184" s="45"/>
      <c r="V184" s="45"/>
    </row>
    <row r="185">
      <c r="A185" s="32"/>
      <c r="B185" s="152" t="s">
        <v>18</v>
      </c>
      <c r="C185" s="143">
        <v>440.857</v>
      </c>
      <c r="D185" s="143">
        <v>440.918</v>
      </c>
      <c r="E185" s="143">
        <v>441.419</v>
      </c>
      <c r="F185" s="143">
        <v>439.999</v>
      </c>
      <c r="G185" s="143">
        <v>449.321</v>
      </c>
      <c r="H185" s="143">
        <v>448.238</v>
      </c>
      <c r="I185" s="143">
        <v>448.382</v>
      </c>
      <c r="J185" s="143">
        <v>453.16</v>
      </c>
      <c r="K185" s="143">
        <v>449.88</v>
      </c>
      <c r="L185" s="143">
        <v>448.862</v>
      </c>
      <c r="M185" s="148">
        <f t="shared" si="40"/>
        <v>446.1036</v>
      </c>
      <c r="N185" s="149">
        <f t="shared" si="41"/>
        <v>453.16</v>
      </c>
      <c r="O185" s="150">
        <f t="shared" si="42"/>
        <v>450.208</v>
      </c>
      <c r="P185" s="45"/>
      <c r="R185" s="45"/>
      <c r="T185" s="45"/>
      <c r="V185" s="45"/>
    </row>
    <row r="186">
      <c r="A186" s="25" t="s">
        <v>21</v>
      </c>
      <c r="B186" s="5" t="s">
        <v>17</v>
      </c>
      <c r="C186" s="27">
        <v>820.0</v>
      </c>
      <c r="D186" s="27">
        <v>810.0</v>
      </c>
      <c r="E186" s="27">
        <v>810.0</v>
      </c>
      <c r="F186" s="27">
        <v>810.0</v>
      </c>
      <c r="G186" s="27">
        <v>820.0</v>
      </c>
      <c r="H186" s="27">
        <v>810.0</v>
      </c>
      <c r="I186" s="27">
        <v>820.0</v>
      </c>
      <c r="J186" s="27">
        <v>820.0</v>
      </c>
      <c r="K186" s="27">
        <v>830.0</v>
      </c>
      <c r="L186" s="27">
        <v>830.0</v>
      </c>
      <c r="M186" s="29">
        <f t="shared" si="40"/>
        <v>818</v>
      </c>
      <c r="N186" s="30">
        <f t="shared" si="41"/>
        <v>830</v>
      </c>
      <c r="O186" s="31">
        <f t="shared" si="42"/>
        <v>830</v>
      </c>
      <c r="P186" s="45"/>
      <c r="R186" s="45"/>
      <c r="T186" s="45"/>
      <c r="V186" s="45"/>
    </row>
    <row r="187">
      <c r="A187" s="32"/>
      <c r="B187" s="62" t="s">
        <v>18</v>
      </c>
      <c r="C187" s="27">
        <v>816.25</v>
      </c>
      <c r="D187" s="27">
        <v>817.262</v>
      </c>
      <c r="E187" s="27">
        <v>818.497</v>
      </c>
      <c r="F187" s="27">
        <v>815.681</v>
      </c>
      <c r="G187" s="27">
        <v>823.802</v>
      </c>
      <c r="H187" s="27">
        <v>817.342</v>
      </c>
      <c r="I187" s="27">
        <v>823.943</v>
      </c>
      <c r="J187" s="27">
        <v>829.734</v>
      </c>
      <c r="K187" s="27">
        <v>830.75</v>
      </c>
      <c r="L187" s="27">
        <v>829.518</v>
      </c>
      <c r="M187" s="63">
        <f t="shared" si="40"/>
        <v>822.2779</v>
      </c>
      <c r="N187" s="30">
        <f t="shared" si="41"/>
        <v>830.75</v>
      </c>
      <c r="O187" s="31">
        <f t="shared" si="42"/>
        <v>829.8356</v>
      </c>
      <c r="P187" s="45"/>
      <c r="R187" s="45"/>
      <c r="T187" s="45"/>
      <c r="V187" s="45"/>
    </row>
    <row r="188">
      <c r="A188" s="141" t="s">
        <v>22</v>
      </c>
      <c r="B188" s="142" t="s">
        <v>17</v>
      </c>
      <c r="C188" s="143">
        <v>3970.0</v>
      </c>
      <c r="D188" s="143">
        <v>1440.0</v>
      </c>
      <c r="E188" s="143">
        <v>2370.0</v>
      </c>
      <c r="F188" s="143">
        <v>2500.0</v>
      </c>
      <c r="G188" s="143">
        <v>2380.0</v>
      </c>
      <c r="H188" s="143">
        <v>2370.0</v>
      </c>
      <c r="I188" s="143">
        <v>3430.0</v>
      </c>
      <c r="J188" s="143">
        <v>2510.0</v>
      </c>
      <c r="K188" s="143">
        <v>2730.0</v>
      </c>
      <c r="L188" s="143">
        <v>2370.0</v>
      </c>
      <c r="M188" s="151">
        <f t="shared" si="40"/>
        <v>2607</v>
      </c>
      <c r="N188" s="149">
        <f t="shared" si="41"/>
        <v>3970</v>
      </c>
      <c r="O188" s="150">
        <f t="shared" si="42"/>
        <v>3484</v>
      </c>
      <c r="P188" s="45"/>
      <c r="R188" s="45"/>
      <c r="T188" s="45"/>
      <c r="V188" s="45"/>
    </row>
    <row r="189">
      <c r="A189" s="32"/>
      <c r="B189" s="153" t="s">
        <v>18</v>
      </c>
      <c r="C189" s="154">
        <v>3979.56</v>
      </c>
      <c r="D189" s="154">
        <v>1446.49</v>
      </c>
      <c r="E189" s="154">
        <v>2364.69</v>
      </c>
      <c r="F189" s="154">
        <v>2515.44</v>
      </c>
      <c r="G189" s="154">
        <v>2374.32</v>
      </c>
      <c r="H189" s="154">
        <v>2369.29</v>
      </c>
      <c r="I189" s="154">
        <v>3431.98</v>
      </c>
      <c r="J189" s="154">
        <v>2520.67</v>
      </c>
      <c r="K189" s="154">
        <v>2740.07</v>
      </c>
      <c r="L189" s="154">
        <v>2373.22</v>
      </c>
      <c r="M189" s="155">
        <f t="shared" si="40"/>
        <v>2611.573</v>
      </c>
      <c r="N189" s="156">
        <f t="shared" si="41"/>
        <v>3979.56</v>
      </c>
      <c r="O189" s="157">
        <f t="shared" si="42"/>
        <v>3486.738</v>
      </c>
      <c r="P189" s="45"/>
      <c r="R189" s="45"/>
      <c r="T189" s="45"/>
      <c r="V189" s="45"/>
    </row>
    <row r="190">
      <c r="O190" s="41"/>
      <c r="P190" s="45"/>
      <c r="R190" s="45"/>
      <c r="T190" s="45"/>
      <c r="V190" s="45"/>
    </row>
    <row r="191">
      <c r="A191" s="1" t="s">
        <v>37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45"/>
      <c r="R191" s="45"/>
      <c r="T191" s="45"/>
      <c r="V191" s="45"/>
    </row>
    <row r="192">
      <c r="A192" s="4" t="s">
        <v>1</v>
      </c>
      <c r="B192" s="4" t="s">
        <v>2</v>
      </c>
      <c r="C192" s="6" t="s">
        <v>3</v>
      </c>
      <c r="D192" s="6" t="s">
        <v>4</v>
      </c>
      <c r="E192" s="6" t="s">
        <v>5</v>
      </c>
      <c r="F192" s="6" t="s">
        <v>6</v>
      </c>
      <c r="G192" s="6" t="s">
        <v>7</v>
      </c>
      <c r="H192" s="6" t="s">
        <v>8</v>
      </c>
      <c r="I192" s="6" t="s">
        <v>9</v>
      </c>
      <c r="J192" s="6" t="s">
        <v>10</v>
      </c>
      <c r="K192" s="6" t="s">
        <v>11</v>
      </c>
      <c r="L192" s="6" t="s">
        <v>12</v>
      </c>
      <c r="M192" s="7" t="s">
        <v>13</v>
      </c>
      <c r="N192" s="7" t="s">
        <v>14</v>
      </c>
      <c r="O192" s="8" t="s">
        <v>15</v>
      </c>
      <c r="P192" s="45"/>
      <c r="R192" s="45"/>
      <c r="T192" s="45"/>
      <c r="V192" s="45"/>
    </row>
    <row r="193">
      <c r="A193" s="141" t="s">
        <v>16</v>
      </c>
      <c r="B193" s="142" t="s">
        <v>17</v>
      </c>
      <c r="C193" s="143">
        <v>130.0</v>
      </c>
      <c r="D193" s="143">
        <v>480.0</v>
      </c>
      <c r="E193" s="143">
        <v>130.0</v>
      </c>
      <c r="F193" s="143">
        <v>130.0</v>
      </c>
      <c r="G193" s="143">
        <v>500.0</v>
      </c>
      <c r="H193" s="143">
        <v>130.0</v>
      </c>
      <c r="I193" s="143">
        <v>120.0</v>
      </c>
      <c r="J193" s="143">
        <v>130.0</v>
      </c>
      <c r="K193" s="143">
        <v>130.0</v>
      </c>
      <c r="L193" s="143">
        <v>120.0</v>
      </c>
      <c r="M193" s="144">
        <f t="shared" ref="M193:M202" si="43">AVERAGE(C193:L193)</f>
        <v>200</v>
      </c>
      <c r="N193" s="145">
        <f t="shared" ref="N193:N202" si="44">MAX(C193:L193)</f>
        <v>500</v>
      </c>
      <c r="O193" s="146">
        <f t="shared" ref="O193:O202" si="45">_xlfn.PERCENTILE.INC(C193:L193, 0.9)</f>
        <v>482</v>
      </c>
      <c r="P193" s="45"/>
      <c r="R193" s="45"/>
      <c r="T193" s="45"/>
      <c r="V193" s="45"/>
    </row>
    <row r="194">
      <c r="A194" s="32"/>
      <c r="B194" s="147" t="s">
        <v>18</v>
      </c>
      <c r="C194" s="143">
        <v>130.129</v>
      </c>
      <c r="D194" s="143">
        <v>485.207</v>
      </c>
      <c r="E194" s="143">
        <v>129.938</v>
      </c>
      <c r="F194" s="143">
        <v>129.417</v>
      </c>
      <c r="G194" s="143">
        <v>492.456</v>
      </c>
      <c r="H194" s="143">
        <v>128.99</v>
      </c>
      <c r="I194" s="143">
        <v>128.621</v>
      </c>
      <c r="J194" s="143">
        <v>129.683</v>
      </c>
      <c r="K194" s="143">
        <v>129.148</v>
      </c>
      <c r="L194" s="143">
        <v>129.485</v>
      </c>
      <c r="M194" s="148">
        <f t="shared" si="43"/>
        <v>201.3074</v>
      </c>
      <c r="N194" s="149">
        <f t="shared" si="44"/>
        <v>492.456</v>
      </c>
      <c r="O194" s="150">
        <f t="shared" si="45"/>
        <v>485.9319</v>
      </c>
      <c r="P194" s="45"/>
      <c r="R194" s="45"/>
      <c r="T194" s="45"/>
      <c r="V194" s="45"/>
    </row>
    <row r="195">
      <c r="A195" s="25" t="s">
        <v>19</v>
      </c>
      <c r="B195" s="5" t="s">
        <v>17</v>
      </c>
      <c r="C195" s="27">
        <v>970.0</v>
      </c>
      <c r="D195" s="27">
        <v>240.0</v>
      </c>
      <c r="E195" s="27">
        <v>250.0</v>
      </c>
      <c r="F195" s="27">
        <v>980.0</v>
      </c>
      <c r="G195" s="27">
        <v>250.0</v>
      </c>
      <c r="H195" s="27">
        <v>240.0</v>
      </c>
      <c r="I195" s="27">
        <v>250.0</v>
      </c>
      <c r="J195" s="27">
        <v>530.0</v>
      </c>
      <c r="K195" s="27">
        <v>230.0</v>
      </c>
      <c r="L195" s="27">
        <v>990.0</v>
      </c>
      <c r="M195" s="29">
        <f t="shared" si="43"/>
        <v>493</v>
      </c>
      <c r="N195" s="30">
        <f t="shared" si="44"/>
        <v>990</v>
      </c>
      <c r="O195" s="31">
        <f t="shared" si="45"/>
        <v>981</v>
      </c>
      <c r="P195" s="45"/>
      <c r="R195" s="45"/>
      <c r="T195" s="45"/>
      <c r="V195" s="45"/>
    </row>
    <row r="196">
      <c r="A196" s="32"/>
      <c r="B196" s="62" t="s">
        <v>18</v>
      </c>
      <c r="C196" s="27">
        <v>979.736</v>
      </c>
      <c r="D196" s="27">
        <v>243.759</v>
      </c>
      <c r="E196" s="27">
        <v>244.106</v>
      </c>
      <c r="F196" s="27">
        <v>981.671</v>
      </c>
      <c r="G196" s="27">
        <v>242.967</v>
      </c>
      <c r="H196" s="27">
        <v>243.144</v>
      </c>
      <c r="I196" s="27">
        <v>244.206</v>
      </c>
      <c r="J196" s="27">
        <v>527.166</v>
      </c>
      <c r="K196" s="27">
        <v>245.725</v>
      </c>
      <c r="L196" s="27">
        <v>1002.61</v>
      </c>
      <c r="M196" s="63">
        <f t="shared" si="43"/>
        <v>495.509</v>
      </c>
      <c r="N196" s="30">
        <f t="shared" si="44"/>
        <v>1002.61</v>
      </c>
      <c r="O196" s="31">
        <f t="shared" si="45"/>
        <v>983.7649</v>
      </c>
      <c r="P196" s="45"/>
      <c r="R196" s="45"/>
      <c r="T196" s="45"/>
      <c r="V196" s="45"/>
    </row>
    <row r="197">
      <c r="A197" s="141" t="s">
        <v>20</v>
      </c>
      <c r="B197" s="142" t="s">
        <v>17</v>
      </c>
      <c r="C197" s="143">
        <v>460.0</v>
      </c>
      <c r="D197" s="143">
        <v>840.0</v>
      </c>
      <c r="E197" s="143">
        <v>2010.0</v>
      </c>
      <c r="F197" s="143">
        <v>460.0</v>
      </c>
      <c r="G197" s="143">
        <v>460.0</v>
      </c>
      <c r="H197" s="143">
        <v>460.0</v>
      </c>
      <c r="I197" s="143">
        <v>460.0</v>
      </c>
      <c r="J197" s="143">
        <v>460.0</v>
      </c>
      <c r="K197" s="143">
        <v>2070.0</v>
      </c>
      <c r="L197" s="143">
        <v>1190.0</v>
      </c>
      <c r="M197" s="151">
        <f t="shared" si="43"/>
        <v>887</v>
      </c>
      <c r="N197" s="149">
        <f t="shared" si="44"/>
        <v>2070</v>
      </c>
      <c r="O197" s="150">
        <f t="shared" si="45"/>
        <v>2016</v>
      </c>
      <c r="P197" s="45"/>
      <c r="R197" s="45"/>
      <c r="T197" s="45"/>
      <c r="V197" s="45"/>
    </row>
    <row r="198">
      <c r="A198" s="32"/>
      <c r="B198" s="152" t="s">
        <v>18</v>
      </c>
      <c r="C198" s="143">
        <v>458.999</v>
      </c>
      <c r="D198" s="143">
        <v>849.773</v>
      </c>
      <c r="E198" s="143">
        <v>2015.51</v>
      </c>
      <c r="F198" s="143">
        <v>460.154</v>
      </c>
      <c r="G198" s="143">
        <v>460.139</v>
      </c>
      <c r="H198" s="143">
        <v>460.241</v>
      </c>
      <c r="I198" s="143">
        <v>460.809</v>
      </c>
      <c r="J198" s="143">
        <v>460.119</v>
      </c>
      <c r="K198" s="143">
        <v>2070.43</v>
      </c>
      <c r="L198" s="143">
        <v>1197.56</v>
      </c>
      <c r="M198" s="148">
        <f t="shared" si="43"/>
        <v>889.3734</v>
      </c>
      <c r="N198" s="149">
        <f t="shared" si="44"/>
        <v>2070.43</v>
      </c>
      <c r="O198" s="150">
        <f t="shared" si="45"/>
        <v>2021.002</v>
      </c>
      <c r="P198" s="45"/>
      <c r="R198" s="45"/>
      <c r="T198" s="45"/>
      <c r="V198" s="45"/>
    </row>
    <row r="199">
      <c r="A199" s="25" t="s">
        <v>21</v>
      </c>
      <c r="B199" s="5" t="s">
        <v>17</v>
      </c>
      <c r="C199" s="27">
        <v>850.0</v>
      </c>
      <c r="D199" s="27">
        <v>3880.0</v>
      </c>
      <c r="E199" s="27">
        <v>860.0</v>
      </c>
      <c r="F199" s="27">
        <v>850.0</v>
      </c>
      <c r="G199" s="27">
        <v>860.0</v>
      </c>
      <c r="H199" s="27">
        <v>4120.0</v>
      </c>
      <c r="I199" s="27">
        <v>3850.0</v>
      </c>
      <c r="J199" s="27">
        <v>4130.0</v>
      </c>
      <c r="K199" s="27">
        <v>850.0</v>
      </c>
      <c r="L199" s="27">
        <v>3720.0</v>
      </c>
      <c r="M199" s="29">
        <f t="shared" si="43"/>
        <v>2397</v>
      </c>
      <c r="N199" s="30">
        <f t="shared" si="44"/>
        <v>4130</v>
      </c>
      <c r="O199" s="31">
        <f t="shared" si="45"/>
        <v>4121</v>
      </c>
      <c r="P199" s="45"/>
      <c r="R199" s="45"/>
      <c r="T199" s="45"/>
      <c r="V199" s="45"/>
    </row>
    <row r="200">
      <c r="A200" s="32"/>
      <c r="B200" s="62" t="s">
        <v>18</v>
      </c>
      <c r="C200" s="27">
        <v>853.504</v>
      </c>
      <c r="D200" s="27">
        <v>3888.99</v>
      </c>
      <c r="E200" s="27">
        <v>851.12</v>
      </c>
      <c r="F200" s="27">
        <v>852.623</v>
      </c>
      <c r="G200" s="27">
        <v>854.215</v>
      </c>
      <c r="H200" s="27">
        <v>4129.14</v>
      </c>
      <c r="I200" s="27">
        <v>3866.75</v>
      </c>
      <c r="J200" s="27">
        <v>4135.76</v>
      </c>
      <c r="K200" s="27">
        <v>851.83</v>
      </c>
      <c r="L200" s="27">
        <v>3733.76</v>
      </c>
      <c r="M200" s="63">
        <f t="shared" si="43"/>
        <v>2401.7692</v>
      </c>
      <c r="N200" s="30">
        <f t="shared" si="44"/>
        <v>4135.76</v>
      </c>
      <c r="O200" s="31">
        <f t="shared" si="45"/>
        <v>4129.802</v>
      </c>
      <c r="P200" s="45"/>
      <c r="R200" s="45"/>
      <c r="T200" s="45"/>
      <c r="V200" s="45"/>
    </row>
    <row r="201">
      <c r="A201" s="141" t="s">
        <v>22</v>
      </c>
      <c r="B201" s="142" t="s">
        <v>17</v>
      </c>
      <c r="C201" s="143">
        <v>1510.0</v>
      </c>
      <c r="D201" s="143">
        <v>3580.0</v>
      </c>
      <c r="E201" s="143">
        <v>1510.0</v>
      </c>
      <c r="F201" s="143">
        <v>1510.0</v>
      </c>
      <c r="G201" s="143">
        <v>7240.0</v>
      </c>
      <c r="H201" s="143">
        <v>1510.0</v>
      </c>
      <c r="I201" s="143">
        <v>1510.0</v>
      </c>
      <c r="J201" s="143">
        <v>3890.0</v>
      </c>
      <c r="K201" s="143">
        <v>6620.0</v>
      </c>
      <c r="L201" s="143">
        <v>4650.0</v>
      </c>
      <c r="M201" s="151">
        <f t="shared" si="43"/>
        <v>3353</v>
      </c>
      <c r="N201" s="149">
        <f t="shared" si="44"/>
        <v>7240</v>
      </c>
      <c r="O201" s="150">
        <f t="shared" si="45"/>
        <v>6682</v>
      </c>
      <c r="P201" s="45"/>
      <c r="R201" s="45"/>
      <c r="T201" s="45"/>
      <c r="V201" s="45"/>
    </row>
    <row r="202">
      <c r="A202" s="32"/>
      <c r="B202" s="153" t="s">
        <v>18</v>
      </c>
      <c r="C202" s="154">
        <v>1510.0</v>
      </c>
      <c r="D202" s="154">
        <v>3590.94</v>
      </c>
      <c r="E202" s="154">
        <v>1508.86</v>
      </c>
      <c r="F202" s="154">
        <v>1511.12</v>
      </c>
      <c r="G202" s="154">
        <v>7249.32</v>
      </c>
      <c r="H202" s="154">
        <v>1504.91</v>
      </c>
      <c r="I202" s="154">
        <v>1511.94</v>
      </c>
      <c r="J202" s="154">
        <v>3893.65</v>
      </c>
      <c r="K202" s="154">
        <v>6636.87</v>
      </c>
      <c r="L202" s="154">
        <v>4663.12</v>
      </c>
      <c r="M202" s="155">
        <f t="shared" si="43"/>
        <v>3358.073</v>
      </c>
      <c r="N202" s="156">
        <f t="shared" si="44"/>
        <v>7249.32</v>
      </c>
      <c r="O202" s="157">
        <f t="shared" si="45"/>
        <v>6698.115</v>
      </c>
      <c r="P202" s="45"/>
      <c r="R202" s="45"/>
      <c r="T202" s="45"/>
      <c r="V202" s="45"/>
    </row>
    <row r="203">
      <c r="O203" s="41"/>
      <c r="P203" s="45"/>
      <c r="R203" s="45"/>
      <c r="T203" s="45"/>
      <c r="V203" s="45"/>
    </row>
    <row r="204">
      <c r="A204" s="158"/>
    </row>
    <row r="205">
      <c r="O205" s="41"/>
      <c r="P205" s="45"/>
      <c r="R205" s="45"/>
      <c r="T205" s="45"/>
      <c r="V205" s="45"/>
    </row>
    <row r="206">
      <c r="A206" s="1" t="s">
        <v>38</v>
      </c>
      <c r="B206" s="2"/>
      <c r="C206" s="2"/>
      <c r="D206" s="2"/>
      <c r="E206" s="2"/>
      <c r="F206" s="2"/>
      <c r="G206" s="2"/>
      <c r="H206" s="2"/>
      <c r="I206" s="2"/>
      <c r="J206" s="2"/>
      <c r="K206" s="3"/>
      <c r="M206" s="1" t="s">
        <v>39</v>
      </c>
      <c r="N206" s="3"/>
      <c r="O206" s="159" t="s">
        <v>40</v>
      </c>
      <c r="P206" s="3"/>
      <c r="Q206" s="1" t="s">
        <v>41</v>
      </c>
      <c r="R206" s="3"/>
      <c r="S206" s="1" t="s">
        <v>42</v>
      </c>
      <c r="T206" s="3"/>
      <c r="U206" s="1" t="s">
        <v>43</v>
      </c>
      <c r="V206" s="3"/>
    </row>
    <row r="207">
      <c r="A207" s="4" t="s">
        <v>1</v>
      </c>
      <c r="B207" s="4" t="s">
        <v>2</v>
      </c>
      <c r="C207" s="160" t="s">
        <v>39</v>
      </c>
      <c r="D207" s="160" t="s">
        <v>40</v>
      </c>
      <c r="E207" s="160" t="s">
        <v>41</v>
      </c>
      <c r="F207" s="160" t="s">
        <v>42</v>
      </c>
      <c r="G207" s="160" t="s">
        <v>43</v>
      </c>
      <c r="H207" s="160" t="s">
        <v>44</v>
      </c>
      <c r="I207" s="160" t="s">
        <v>45</v>
      </c>
      <c r="J207" s="160" t="s">
        <v>46</v>
      </c>
      <c r="K207" s="160" t="s">
        <v>47</v>
      </c>
      <c r="M207" s="160" t="s">
        <v>46</v>
      </c>
      <c r="N207" s="160" t="s">
        <v>47</v>
      </c>
      <c r="O207" s="8" t="s">
        <v>46</v>
      </c>
      <c r="P207" s="161" t="s">
        <v>47</v>
      </c>
      <c r="Q207" s="160" t="s">
        <v>46</v>
      </c>
      <c r="R207" s="161" t="s">
        <v>47</v>
      </c>
      <c r="S207" s="160" t="s">
        <v>46</v>
      </c>
      <c r="T207" s="161" t="s">
        <v>47</v>
      </c>
      <c r="U207" s="160" t="s">
        <v>46</v>
      </c>
      <c r="V207" s="161" t="s">
        <v>47</v>
      </c>
    </row>
    <row r="208">
      <c r="A208" s="162" t="s">
        <v>16</v>
      </c>
      <c r="B208" s="163" t="s">
        <v>17</v>
      </c>
      <c r="C208" s="164">
        <f t="shared" ref="C208:C217" si="46">O3</f>
        <v>552</v>
      </c>
      <c r="D208" s="165">
        <f t="shared" ref="D208:D217" si="47">O44</f>
        <v>326</v>
      </c>
      <c r="E208" s="166">
        <f t="shared" ref="E208:E217" si="48">O85</f>
        <v>643</v>
      </c>
      <c r="F208" s="166">
        <f t="shared" ref="F208:F217" si="49">O126</f>
        <v>490</v>
      </c>
      <c r="G208" s="167">
        <f t="shared" ref="G208:G217" si="50">O167</f>
        <v>444</v>
      </c>
      <c r="H208" s="168">
        <f t="shared" ref="H208:H217" si="51">MIN(C208:G208)</f>
        <v>326</v>
      </c>
      <c r="I208" s="169">
        <f>sequential!O3</f>
        <v>284</v>
      </c>
      <c r="J208" s="170">
        <f t="shared" ref="J208:J217" si="52">I208/H208</f>
        <v>0.8711656442</v>
      </c>
      <c r="K208" s="171">
        <f t="shared" ref="K208:K217" si="53">J208/8</f>
        <v>0.1088957055</v>
      </c>
      <c r="M208" s="172">
        <f t="shared" ref="M208:M217" si="54">I208/C208</f>
        <v>0.5144927536</v>
      </c>
      <c r="N208" s="173">
        <f t="shared" ref="N208:N217" si="55">M208/4</f>
        <v>0.1286231884</v>
      </c>
      <c r="O208" s="174">
        <f t="shared" ref="O208:O217" si="56">I208/D208</f>
        <v>0.8711656442</v>
      </c>
      <c r="P208" s="173">
        <f t="shared" ref="P208:P217" si="57">O208/8</f>
        <v>0.1088957055</v>
      </c>
      <c r="Q208" s="175">
        <f t="shared" ref="Q208:Q217" si="58">I208/E208</f>
        <v>0.4416796267</v>
      </c>
      <c r="R208" s="173">
        <f t="shared" ref="R208:R217" si="59">Q208/16</f>
        <v>0.02760497667</v>
      </c>
      <c r="S208" s="175">
        <f t="shared" ref="S208:S217" si="60">I208/F208</f>
        <v>0.5795918367</v>
      </c>
      <c r="T208" s="173">
        <f t="shared" ref="T208:T217" si="61">S208/32</f>
        <v>0.0181122449</v>
      </c>
      <c r="U208" s="175">
        <f t="shared" ref="U208:U217" si="62">I208/G208</f>
        <v>0.6396396396</v>
      </c>
      <c r="V208" s="176">
        <f t="shared" ref="V208:V217" si="63">U208/64</f>
        <v>0.009994369369</v>
      </c>
    </row>
    <row r="209">
      <c r="A209" s="32"/>
      <c r="B209" s="177" t="s">
        <v>18</v>
      </c>
      <c r="C209" s="178">
        <f t="shared" si="46"/>
        <v>737.5493</v>
      </c>
      <c r="D209" s="179">
        <f t="shared" si="47"/>
        <v>330.6993</v>
      </c>
      <c r="E209" s="180">
        <f t="shared" si="48"/>
        <v>648.742</v>
      </c>
      <c r="F209" s="180">
        <f t="shared" si="49"/>
        <v>483.8582</v>
      </c>
      <c r="G209" s="181">
        <f t="shared" si="50"/>
        <v>439.701</v>
      </c>
      <c r="H209" s="168">
        <f t="shared" si="51"/>
        <v>330.6993</v>
      </c>
      <c r="I209" s="168">
        <f>sequential!O4</f>
        <v>282.7915</v>
      </c>
      <c r="J209" s="182">
        <f t="shared" si="52"/>
        <v>0.8551318373</v>
      </c>
      <c r="K209" s="183">
        <f t="shared" si="53"/>
        <v>0.1068914797</v>
      </c>
      <c r="M209" s="184">
        <f t="shared" si="54"/>
        <v>0.383420471</v>
      </c>
      <c r="N209" s="45">
        <f t="shared" si="55"/>
        <v>0.09585511775</v>
      </c>
      <c r="O209" s="185">
        <f t="shared" si="56"/>
        <v>0.8551318373</v>
      </c>
      <c r="P209" s="45">
        <f t="shared" si="57"/>
        <v>0.1068914797</v>
      </c>
      <c r="Q209" s="186">
        <f t="shared" si="58"/>
        <v>0.4359074948</v>
      </c>
      <c r="R209" s="45">
        <f t="shared" si="59"/>
        <v>0.02724421843</v>
      </c>
      <c r="S209" s="186">
        <f t="shared" si="60"/>
        <v>0.5844511884</v>
      </c>
      <c r="T209" s="45">
        <f t="shared" si="61"/>
        <v>0.01826409964</v>
      </c>
      <c r="U209" s="186">
        <f t="shared" si="62"/>
        <v>0.6431450008</v>
      </c>
      <c r="V209" s="187">
        <f t="shared" si="63"/>
        <v>0.01004914064</v>
      </c>
    </row>
    <row r="210">
      <c r="A210" s="25" t="s">
        <v>19</v>
      </c>
      <c r="B210" s="5" t="s">
        <v>17</v>
      </c>
      <c r="C210" s="29">
        <f t="shared" si="46"/>
        <v>796</v>
      </c>
      <c r="D210" s="188">
        <f t="shared" si="47"/>
        <v>619</v>
      </c>
      <c r="E210" s="30">
        <f t="shared" si="48"/>
        <v>1192</v>
      </c>
      <c r="F210" s="30">
        <f t="shared" si="49"/>
        <v>940</v>
      </c>
      <c r="G210" s="189">
        <f t="shared" si="50"/>
        <v>837</v>
      </c>
      <c r="H210" s="190">
        <f t="shared" si="51"/>
        <v>619</v>
      </c>
      <c r="I210" s="190">
        <f>sequential!O5</f>
        <v>826</v>
      </c>
      <c r="J210" s="191">
        <f t="shared" si="52"/>
        <v>1.334410339</v>
      </c>
      <c r="K210" s="192">
        <f t="shared" si="53"/>
        <v>0.1668012924</v>
      </c>
      <c r="M210" s="184">
        <f t="shared" si="54"/>
        <v>1.037688442</v>
      </c>
      <c r="N210" s="45">
        <f t="shared" si="55"/>
        <v>0.2594221106</v>
      </c>
      <c r="O210" s="185">
        <f t="shared" si="56"/>
        <v>1.334410339</v>
      </c>
      <c r="P210" s="45">
        <f t="shared" si="57"/>
        <v>0.1668012924</v>
      </c>
      <c r="Q210" s="186">
        <f t="shared" si="58"/>
        <v>0.6929530201</v>
      </c>
      <c r="R210" s="45">
        <f t="shared" si="59"/>
        <v>0.04330956376</v>
      </c>
      <c r="S210" s="186">
        <f t="shared" si="60"/>
        <v>0.8787234043</v>
      </c>
      <c r="T210" s="45">
        <f t="shared" si="61"/>
        <v>0.02746010638</v>
      </c>
      <c r="U210" s="186">
        <f t="shared" si="62"/>
        <v>0.9868578256</v>
      </c>
      <c r="V210" s="187">
        <f t="shared" si="63"/>
        <v>0.01541965352</v>
      </c>
    </row>
    <row r="211">
      <c r="A211" s="32"/>
      <c r="B211" s="62" t="s">
        <v>18</v>
      </c>
      <c r="C211" s="29">
        <f t="shared" si="46"/>
        <v>1500.53</v>
      </c>
      <c r="D211" s="188">
        <f t="shared" si="47"/>
        <v>627.6572</v>
      </c>
      <c r="E211" s="30">
        <f t="shared" si="48"/>
        <v>1201.03</v>
      </c>
      <c r="F211" s="30">
        <f t="shared" si="49"/>
        <v>937.0074</v>
      </c>
      <c r="G211" s="189">
        <f t="shared" si="50"/>
        <v>835.5024</v>
      </c>
      <c r="H211" s="190">
        <f t="shared" si="51"/>
        <v>627.6572</v>
      </c>
      <c r="I211" s="190">
        <f>sequential!O6</f>
        <v>827.5504</v>
      </c>
      <c r="J211" s="191">
        <f t="shared" si="52"/>
        <v>1.318475117</v>
      </c>
      <c r="K211" s="192">
        <f t="shared" si="53"/>
        <v>0.1648093896</v>
      </c>
      <c r="M211" s="184">
        <f t="shared" si="54"/>
        <v>0.5515054014</v>
      </c>
      <c r="N211" s="45">
        <f t="shared" si="55"/>
        <v>0.1378763504</v>
      </c>
      <c r="O211" s="185">
        <f t="shared" si="56"/>
        <v>1.318475117</v>
      </c>
      <c r="P211" s="45">
        <f t="shared" si="57"/>
        <v>0.1648093896</v>
      </c>
      <c r="Q211" s="186">
        <f t="shared" si="58"/>
        <v>0.6890339126</v>
      </c>
      <c r="R211" s="45">
        <f t="shared" si="59"/>
        <v>0.04306461953</v>
      </c>
      <c r="S211" s="186">
        <f t="shared" si="60"/>
        <v>0.8831844871</v>
      </c>
      <c r="T211" s="45">
        <f t="shared" si="61"/>
        <v>0.02759951522</v>
      </c>
      <c r="U211" s="186">
        <f t="shared" si="62"/>
        <v>0.9904823732</v>
      </c>
      <c r="V211" s="187">
        <f t="shared" si="63"/>
        <v>0.01547628708</v>
      </c>
    </row>
    <row r="212">
      <c r="A212" s="162" t="s">
        <v>20</v>
      </c>
      <c r="B212" s="163" t="s">
        <v>17</v>
      </c>
      <c r="C212" s="178">
        <f t="shared" si="46"/>
        <v>1654</v>
      </c>
      <c r="D212" s="179">
        <f t="shared" si="47"/>
        <v>1162</v>
      </c>
      <c r="E212" s="180">
        <f t="shared" si="48"/>
        <v>2086</v>
      </c>
      <c r="F212" s="180">
        <f t="shared" si="49"/>
        <v>1821</v>
      </c>
      <c r="G212" s="181">
        <f t="shared" si="50"/>
        <v>1991</v>
      </c>
      <c r="H212" s="168">
        <f t="shared" si="51"/>
        <v>1162</v>
      </c>
      <c r="I212" s="168">
        <f>sequential!O7</f>
        <v>1162</v>
      </c>
      <c r="J212" s="182">
        <f t="shared" si="52"/>
        <v>1</v>
      </c>
      <c r="K212" s="183">
        <f t="shared" si="53"/>
        <v>0.125</v>
      </c>
      <c r="M212" s="184">
        <f t="shared" si="54"/>
        <v>0.7025392987</v>
      </c>
      <c r="N212" s="45">
        <f t="shared" si="55"/>
        <v>0.1756348247</v>
      </c>
      <c r="O212" s="185">
        <f t="shared" si="56"/>
        <v>1</v>
      </c>
      <c r="P212" s="45">
        <f t="shared" si="57"/>
        <v>0.125</v>
      </c>
      <c r="Q212" s="186">
        <f t="shared" si="58"/>
        <v>0.5570469799</v>
      </c>
      <c r="R212" s="45">
        <f t="shared" si="59"/>
        <v>0.03481543624</v>
      </c>
      <c r="S212" s="186">
        <f t="shared" si="60"/>
        <v>0.6381109281</v>
      </c>
      <c r="T212" s="45">
        <f t="shared" si="61"/>
        <v>0.0199409665</v>
      </c>
      <c r="U212" s="186">
        <f t="shared" si="62"/>
        <v>0.5836263184</v>
      </c>
      <c r="V212" s="187">
        <f t="shared" si="63"/>
        <v>0.009119161226</v>
      </c>
    </row>
    <row r="213">
      <c r="A213" s="32"/>
      <c r="B213" s="193" t="s">
        <v>18</v>
      </c>
      <c r="C213" s="178">
        <f t="shared" si="46"/>
        <v>3053.117</v>
      </c>
      <c r="D213" s="179">
        <f t="shared" si="47"/>
        <v>1157.044</v>
      </c>
      <c r="E213" s="180">
        <f t="shared" si="48"/>
        <v>2096.641</v>
      </c>
      <c r="F213" s="180">
        <f t="shared" si="49"/>
        <v>1822.235</v>
      </c>
      <c r="G213" s="181">
        <f t="shared" si="50"/>
        <v>1993.431</v>
      </c>
      <c r="H213" s="168">
        <f t="shared" si="51"/>
        <v>1157.044</v>
      </c>
      <c r="I213" s="168">
        <f>sequential!O8</f>
        <v>1174.137</v>
      </c>
      <c r="J213" s="182">
        <f t="shared" si="52"/>
        <v>1.01477299</v>
      </c>
      <c r="K213" s="183">
        <f t="shared" si="53"/>
        <v>0.1268466238</v>
      </c>
      <c r="M213" s="184">
        <f t="shared" si="54"/>
        <v>0.384569933</v>
      </c>
      <c r="N213" s="45">
        <f t="shared" si="55"/>
        <v>0.09614248324</v>
      </c>
      <c r="O213" s="185">
        <f t="shared" si="56"/>
        <v>1.01477299</v>
      </c>
      <c r="P213" s="45">
        <f t="shared" si="57"/>
        <v>0.1268466238</v>
      </c>
      <c r="Q213" s="186">
        <f t="shared" si="58"/>
        <v>0.5600086042</v>
      </c>
      <c r="R213" s="45">
        <f t="shared" si="59"/>
        <v>0.03500053776</v>
      </c>
      <c r="S213" s="186">
        <f t="shared" si="60"/>
        <v>0.6443389574</v>
      </c>
      <c r="T213" s="45">
        <f t="shared" si="61"/>
        <v>0.02013559242</v>
      </c>
      <c r="U213" s="186">
        <f t="shared" si="62"/>
        <v>0.5890030806</v>
      </c>
      <c r="V213" s="187">
        <f t="shared" si="63"/>
        <v>0.009203173135</v>
      </c>
    </row>
    <row r="214">
      <c r="A214" s="25" t="s">
        <v>21</v>
      </c>
      <c r="B214" s="5" t="s">
        <v>17</v>
      </c>
      <c r="C214" s="29">
        <f t="shared" si="46"/>
        <v>3252</v>
      </c>
      <c r="D214" s="188">
        <f t="shared" si="47"/>
        <v>2228</v>
      </c>
      <c r="E214" s="30">
        <f t="shared" si="48"/>
        <v>3830</v>
      </c>
      <c r="F214" s="30">
        <f t="shared" si="49"/>
        <v>3570</v>
      </c>
      <c r="G214" s="189">
        <f t="shared" si="50"/>
        <v>3472</v>
      </c>
      <c r="H214" s="190">
        <f t="shared" si="51"/>
        <v>2228</v>
      </c>
      <c r="I214" s="190">
        <f>sequential!O9</f>
        <v>2400</v>
      </c>
      <c r="J214" s="191">
        <f t="shared" si="52"/>
        <v>1.077199282</v>
      </c>
      <c r="K214" s="192">
        <f t="shared" si="53"/>
        <v>0.1346499102</v>
      </c>
      <c r="M214" s="184">
        <f t="shared" si="54"/>
        <v>0.7380073801</v>
      </c>
      <c r="N214" s="45">
        <f t="shared" si="55"/>
        <v>0.184501845</v>
      </c>
      <c r="O214" s="185">
        <f t="shared" si="56"/>
        <v>1.077199282</v>
      </c>
      <c r="P214" s="45">
        <f t="shared" si="57"/>
        <v>0.1346499102</v>
      </c>
      <c r="Q214" s="186">
        <f t="shared" si="58"/>
        <v>0.6266318538</v>
      </c>
      <c r="R214" s="45">
        <f t="shared" si="59"/>
        <v>0.03916449086</v>
      </c>
      <c r="S214" s="186">
        <f t="shared" si="60"/>
        <v>0.6722689076</v>
      </c>
      <c r="T214" s="45">
        <f t="shared" si="61"/>
        <v>0.02100840336</v>
      </c>
      <c r="U214" s="186">
        <f t="shared" si="62"/>
        <v>0.6912442396</v>
      </c>
      <c r="V214" s="187">
        <f t="shared" si="63"/>
        <v>0.01080069124</v>
      </c>
    </row>
    <row r="215">
      <c r="A215" s="32"/>
      <c r="B215" s="62" t="s">
        <v>18</v>
      </c>
      <c r="C215" s="29">
        <f t="shared" si="46"/>
        <v>4822.999</v>
      </c>
      <c r="D215" s="188">
        <f t="shared" si="47"/>
        <v>2233.483</v>
      </c>
      <c r="E215" s="30">
        <f t="shared" si="48"/>
        <v>3840.761</v>
      </c>
      <c r="F215" s="30">
        <f t="shared" si="49"/>
        <v>3584.124</v>
      </c>
      <c r="G215" s="189">
        <f t="shared" si="50"/>
        <v>3471.035</v>
      </c>
      <c r="H215" s="190">
        <f t="shared" si="51"/>
        <v>2233.483</v>
      </c>
      <c r="I215" s="190">
        <f>sequential!O10</f>
        <v>2400.128</v>
      </c>
      <c r="J215" s="191">
        <f t="shared" si="52"/>
        <v>1.074612164</v>
      </c>
      <c r="K215" s="192">
        <f t="shared" si="53"/>
        <v>0.1343265205</v>
      </c>
      <c r="M215" s="184">
        <f t="shared" si="54"/>
        <v>0.4976422346</v>
      </c>
      <c r="N215" s="45">
        <f t="shared" si="55"/>
        <v>0.1244105587</v>
      </c>
      <c r="O215" s="185">
        <f t="shared" si="56"/>
        <v>1.074612164</v>
      </c>
      <c r="P215" s="45">
        <f t="shared" si="57"/>
        <v>0.1343265205</v>
      </c>
      <c r="Q215" s="186">
        <f t="shared" si="58"/>
        <v>0.6249094906</v>
      </c>
      <c r="R215" s="45">
        <f t="shared" si="59"/>
        <v>0.03905684316</v>
      </c>
      <c r="S215" s="186">
        <f t="shared" si="60"/>
        <v>0.6696554025</v>
      </c>
      <c r="T215" s="45">
        <f t="shared" si="61"/>
        <v>0.02092673133</v>
      </c>
      <c r="U215" s="186">
        <f t="shared" si="62"/>
        <v>0.6914732925</v>
      </c>
      <c r="V215" s="187">
        <f t="shared" si="63"/>
        <v>0.0108042702</v>
      </c>
    </row>
    <row r="216">
      <c r="A216" s="162" t="s">
        <v>22</v>
      </c>
      <c r="B216" s="163" t="s">
        <v>17</v>
      </c>
      <c r="C216" s="178">
        <f t="shared" si="46"/>
        <v>6747</v>
      </c>
      <c r="D216" s="179">
        <f t="shared" si="47"/>
        <v>5181</v>
      </c>
      <c r="E216" s="180">
        <f t="shared" si="48"/>
        <v>6646</v>
      </c>
      <c r="F216" s="180">
        <f t="shared" si="49"/>
        <v>6124</v>
      </c>
      <c r="G216" s="181">
        <f t="shared" si="50"/>
        <v>8675</v>
      </c>
      <c r="H216" s="168">
        <f t="shared" si="51"/>
        <v>5181</v>
      </c>
      <c r="I216" s="168">
        <f>sequential!O11</f>
        <v>3735</v>
      </c>
      <c r="J216" s="182">
        <f t="shared" si="52"/>
        <v>0.7209033005</v>
      </c>
      <c r="K216" s="183">
        <f t="shared" si="53"/>
        <v>0.09011291257</v>
      </c>
      <c r="M216" s="184">
        <f t="shared" si="54"/>
        <v>0.5535793686</v>
      </c>
      <c r="N216" s="45">
        <f t="shared" si="55"/>
        <v>0.1383948422</v>
      </c>
      <c r="O216" s="185">
        <f t="shared" si="56"/>
        <v>0.7209033005</v>
      </c>
      <c r="P216" s="45">
        <f t="shared" si="57"/>
        <v>0.09011291257</v>
      </c>
      <c r="Q216" s="186">
        <f t="shared" si="58"/>
        <v>0.5619921757</v>
      </c>
      <c r="R216" s="45">
        <f t="shared" si="59"/>
        <v>0.03512451098</v>
      </c>
      <c r="S216" s="186">
        <f t="shared" si="60"/>
        <v>0.6098954931</v>
      </c>
      <c r="T216" s="45">
        <f t="shared" si="61"/>
        <v>0.01905923416</v>
      </c>
      <c r="U216" s="186">
        <f t="shared" si="62"/>
        <v>0.4305475504</v>
      </c>
      <c r="V216" s="187">
        <f t="shared" si="63"/>
        <v>0.006727305476</v>
      </c>
    </row>
    <row r="217">
      <c r="A217" s="32"/>
      <c r="B217" s="194" t="s">
        <v>18</v>
      </c>
      <c r="C217" s="195">
        <f t="shared" si="46"/>
        <v>10233.38</v>
      </c>
      <c r="D217" s="196">
        <f t="shared" si="47"/>
        <v>5194.429</v>
      </c>
      <c r="E217" s="197">
        <f t="shared" si="48"/>
        <v>6656.468</v>
      </c>
      <c r="F217" s="197">
        <f t="shared" si="49"/>
        <v>6148.344</v>
      </c>
      <c r="G217" s="198">
        <f t="shared" si="50"/>
        <v>8698.835</v>
      </c>
      <c r="H217" s="199">
        <f t="shared" si="51"/>
        <v>5194.429</v>
      </c>
      <c r="I217" s="199">
        <f>sequential!O12</f>
        <v>3743.021</v>
      </c>
      <c r="J217" s="200">
        <f t="shared" si="52"/>
        <v>0.7205837254</v>
      </c>
      <c r="K217" s="201">
        <f t="shared" si="53"/>
        <v>0.09007296567</v>
      </c>
      <c r="M217" s="202">
        <f t="shared" si="54"/>
        <v>0.3657658564</v>
      </c>
      <c r="N217" s="203">
        <f t="shared" si="55"/>
        <v>0.09144146411</v>
      </c>
      <c r="O217" s="204">
        <f t="shared" si="56"/>
        <v>0.7205837254</v>
      </c>
      <c r="P217" s="203">
        <f t="shared" si="57"/>
        <v>0.09007296567</v>
      </c>
      <c r="Q217" s="205">
        <f t="shared" si="58"/>
        <v>0.562313377</v>
      </c>
      <c r="R217" s="203">
        <f t="shared" si="59"/>
        <v>0.03514458606</v>
      </c>
      <c r="S217" s="205">
        <f t="shared" si="60"/>
        <v>0.6087852274</v>
      </c>
      <c r="T217" s="203">
        <f t="shared" si="61"/>
        <v>0.01902453836</v>
      </c>
      <c r="U217" s="205">
        <f t="shared" si="62"/>
        <v>0.4302899181</v>
      </c>
      <c r="V217" s="206">
        <f t="shared" si="63"/>
        <v>0.006723279971</v>
      </c>
    </row>
    <row r="218">
      <c r="O218" s="41"/>
      <c r="P218" s="45"/>
      <c r="R218" s="45"/>
      <c r="T218" s="45"/>
      <c r="V218" s="45"/>
    </row>
    <row r="219">
      <c r="A219" s="1" t="s">
        <v>48</v>
      </c>
      <c r="B219" s="2"/>
      <c r="C219" s="2"/>
      <c r="D219" s="2"/>
      <c r="E219" s="2"/>
      <c r="F219" s="2"/>
      <c r="G219" s="2"/>
      <c r="H219" s="2"/>
      <c r="I219" s="2"/>
      <c r="J219" s="2"/>
      <c r="K219" s="3"/>
      <c r="M219" s="1" t="s">
        <v>39</v>
      </c>
      <c r="N219" s="3"/>
      <c r="O219" s="159" t="s">
        <v>40</v>
      </c>
      <c r="P219" s="3"/>
      <c r="Q219" s="1" t="s">
        <v>41</v>
      </c>
      <c r="R219" s="3"/>
      <c r="S219" s="1" t="s">
        <v>42</v>
      </c>
      <c r="T219" s="3"/>
      <c r="U219" s="1" t="s">
        <v>43</v>
      </c>
      <c r="V219" s="3"/>
    </row>
    <row r="220">
      <c r="A220" s="4" t="s">
        <v>1</v>
      </c>
      <c r="B220" s="4" t="s">
        <v>2</v>
      </c>
      <c r="C220" s="160" t="s">
        <v>39</v>
      </c>
      <c r="D220" s="7" t="s">
        <v>40</v>
      </c>
      <c r="E220" s="7" t="s">
        <v>41</v>
      </c>
      <c r="F220" s="7" t="s">
        <v>42</v>
      </c>
      <c r="G220" s="7" t="s">
        <v>43</v>
      </c>
      <c r="H220" s="160" t="s">
        <v>44</v>
      </c>
      <c r="I220" s="160" t="s">
        <v>45</v>
      </c>
      <c r="J220" s="160" t="s">
        <v>46</v>
      </c>
      <c r="K220" s="160" t="s">
        <v>47</v>
      </c>
      <c r="M220" s="160" t="s">
        <v>46</v>
      </c>
      <c r="N220" s="160" t="s">
        <v>47</v>
      </c>
      <c r="O220" s="8" t="s">
        <v>46</v>
      </c>
      <c r="P220" s="161" t="s">
        <v>47</v>
      </c>
      <c r="Q220" s="160" t="s">
        <v>46</v>
      </c>
      <c r="R220" s="161" t="s">
        <v>47</v>
      </c>
      <c r="S220" s="160" t="s">
        <v>46</v>
      </c>
      <c r="T220" s="161" t="s">
        <v>47</v>
      </c>
      <c r="U220" s="160" t="s">
        <v>46</v>
      </c>
      <c r="V220" s="161" t="s">
        <v>47</v>
      </c>
    </row>
    <row r="221">
      <c r="A221" s="162" t="s">
        <v>16</v>
      </c>
      <c r="B221" s="207" t="s">
        <v>17</v>
      </c>
      <c r="C221" s="178">
        <f t="shared" ref="C221:C230" si="64">O16</f>
        <v>518</v>
      </c>
      <c r="D221" s="166">
        <f t="shared" ref="D221:D230" si="65">O57</f>
        <v>522</v>
      </c>
      <c r="E221" s="166">
        <f t="shared" ref="E221:E230" si="66">O98</f>
        <v>1097</v>
      </c>
      <c r="F221" s="166">
        <f t="shared" ref="F221:F230" si="67">O139</f>
        <v>534</v>
      </c>
      <c r="G221" s="208">
        <f t="shared" ref="G221:G230" si="68">O180</f>
        <v>130</v>
      </c>
      <c r="H221" s="168">
        <f t="shared" ref="H221:H230" si="69">MIN(C221:G221)</f>
        <v>130</v>
      </c>
      <c r="I221" s="168">
        <f>sequential!O3</f>
        <v>284</v>
      </c>
      <c r="J221" s="209">
        <f t="shared" ref="J221:J230" si="70">I221/H221</f>
        <v>2.184615385</v>
      </c>
      <c r="K221" s="171">
        <f t="shared" ref="K221:K230" si="71">J221/64</f>
        <v>0.03413461538</v>
      </c>
      <c r="M221" s="172">
        <f t="shared" ref="M221:M230" si="72">I221/C221</f>
        <v>0.5482625483</v>
      </c>
      <c r="N221" s="173">
        <f t="shared" ref="N221:N230" si="73">M221/4</f>
        <v>0.1370656371</v>
      </c>
      <c r="O221" s="174">
        <f t="shared" ref="O221:O230" si="74">I221/D221</f>
        <v>0.5440613027</v>
      </c>
      <c r="P221" s="173">
        <f t="shared" ref="P221:P230" si="75">O221/8</f>
        <v>0.06800766284</v>
      </c>
      <c r="Q221" s="175">
        <f t="shared" ref="Q221:Q230" si="76">I221/E221</f>
        <v>0.258887876</v>
      </c>
      <c r="R221" s="173">
        <f t="shared" ref="R221:R230" si="77">Q221/16</f>
        <v>0.01618049225</v>
      </c>
      <c r="S221" s="175">
        <f t="shared" ref="S221:S230" si="78">I221/F221</f>
        <v>0.531835206</v>
      </c>
      <c r="T221" s="173">
        <f t="shared" ref="T221:T230" si="79">S221/32</f>
        <v>0.01661985019</v>
      </c>
      <c r="U221" s="175">
        <f t="shared" ref="U221:U230" si="80">I221/G221</f>
        <v>2.184615385</v>
      </c>
      <c r="V221" s="176">
        <f t="shared" ref="V221:V230" si="81">U221/64</f>
        <v>0.03413461538</v>
      </c>
    </row>
    <row r="222">
      <c r="A222" s="32"/>
      <c r="B222" s="210" t="s">
        <v>18</v>
      </c>
      <c r="C222" s="178">
        <f t="shared" si="64"/>
        <v>902.4866</v>
      </c>
      <c r="D222" s="180">
        <f t="shared" si="65"/>
        <v>528.8034</v>
      </c>
      <c r="E222" s="180">
        <f t="shared" si="66"/>
        <v>1246.031</v>
      </c>
      <c r="F222" s="180">
        <f t="shared" si="67"/>
        <v>535.4721</v>
      </c>
      <c r="G222" s="211">
        <f t="shared" si="68"/>
        <v>124.7916</v>
      </c>
      <c r="H222" s="168">
        <f t="shared" si="69"/>
        <v>124.7916</v>
      </c>
      <c r="I222" s="168">
        <f>sequential!O4</f>
        <v>282.7915</v>
      </c>
      <c r="J222" s="212">
        <f t="shared" si="70"/>
        <v>2.266110059</v>
      </c>
      <c r="K222" s="183">
        <f t="shared" si="71"/>
        <v>0.03540796967</v>
      </c>
      <c r="M222" s="184">
        <f t="shared" si="72"/>
        <v>0.3133470347</v>
      </c>
      <c r="N222" s="45">
        <f t="shared" si="73"/>
        <v>0.07833675868</v>
      </c>
      <c r="O222" s="185">
        <f t="shared" si="74"/>
        <v>0.5347762514</v>
      </c>
      <c r="P222" s="45">
        <f t="shared" si="75"/>
        <v>0.06684703143</v>
      </c>
      <c r="Q222" s="186">
        <f t="shared" si="76"/>
        <v>0.2269538238</v>
      </c>
      <c r="R222" s="45">
        <f t="shared" si="77"/>
        <v>0.01418461399</v>
      </c>
      <c r="S222" s="186">
        <f t="shared" si="78"/>
        <v>0.5281162174</v>
      </c>
      <c r="T222" s="45">
        <f t="shared" si="79"/>
        <v>0.0165036318</v>
      </c>
      <c r="U222" s="186">
        <f t="shared" si="80"/>
        <v>2.266110059</v>
      </c>
      <c r="V222" s="187">
        <f t="shared" si="81"/>
        <v>0.03540796967</v>
      </c>
    </row>
    <row r="223">
      <c r="A223" s="25" t="s">
        <v>19</v>
      </c>
      <c r="B223" s="213" t="s">
        <v>17</v>
      </c>
      <c r="C223" s="29">
        <f t="shared" si="64"/>
        <v>1070</v>
      </c>
      <c r="D223" s="30">
        <f t="shared" si="65"/>
        <v>837</v>
      </c>
      <c r="E223" s="30">
        <f t="shared" si="66"/>
        <v>1672</v>
      </c>
      <c r="F223" s="30">
        <f t="shared" si="67"/>
        <v>622</v>
      </c>
      <c r="G223" s="214">
        <f t="shared" si="68"/>
        <v>240</v>
      </c>
      <c r="H223" s="190">
        <f t="shared" si="69"/>
        <v>240</v>
      </c>
      <c r="I223" s="190">
        <f>sequential!O5</f>
        <v>826</v>
      </c>
      <c r="J223" s="215">
        <f t="shared" si="70"/>
        <v>3.441666667</v>
      </c>
      <c r="K223" s="192">
        <f t="shared" si="71"/>
        <v>0.05377604167</v>
      </c>
      <c r="M223" s="184">
        <f t="shared" si="72"/>
        <v>0.7719626168</v>
      </c>
      <c r="N223" s="45">
        <f t="shared" si="73"/>
        <v>0.1929906542</v>
      </c>
      <c r="O223" s="185">
        <f t="shared" si="74"/>
        <v>0.9868578256</v>
      </c>
      <c r="P223" s="45">
        <f t="shared" si="75"/>
        <v>0.1233572282</v>
      </c>
      <c r="Q223" s="186">
        <f t="shared" si="76"/>
        <v>0.4940191388</v>
      </c>
      <c r="R223" s="45">
        <f t="shared" si="77"/>
        <v>0.03087619617</v>
      </c>
      <c r="S223" s="186">
        <f t="shared" si="78"/>
        <v>1.327974277</v>
      </c>
      <c r="T223" s="45">
        <f t="shared" si="79"/>
        <v>0.04149919614</v>
      </c>
      <c r="U223" s="186">
        <f t="shared" si="80"/>
        <v>3.441666667</v>
      </c>
      <c r="V223" s="187">
        <f t="shared" si="81"/>
        <v>0.05377604167</v>
      </c>
    </row>
    <row r="224">
      <c r="A224" s="32"/>
      <c r="B224" s="216" t="s">
        <v>18</v>
      </c>
      <c r="C224" s="29">
        <f t="shared" si="64"/>
        <v>1353.786</v>
      </c>
      <c r="D224" s="30">
        <f t="shared" si="65"/>
        <v>835.7929</v>
      </c>
      <c r="E224" s="30">
        <f t="shared" si="66"/>
        <v>2134.955</v>
      </c>
      <c r="F224" s="30">
        <f t="shared" si="67"/>
        <v>618.7583</v>
      </c>
      <c r="G224" s="214">
        <f t="shared" si="68"/>
        <v>234.7095</v>
      </c>
      <c r="H224" s="190">
        <f t="shared" si="69"/>
        <v>234.7095</v>
      </c>
      <c r="I224" s="190">
        <f>sequential!O6</f>
        <v>827.5504</v>
      </c>
      <c r="J224" s="215">
        <f t="shared" si="70"/>
        <v>3.525849614</v>
      </c>
      <c r="K224" s="192">
        <f t="shared" si="71"/>
        <v>0.05509140022</v>
      </c>
      <c r="M224" s="184">
        <f t="shared" si="72"/>
        <v>0.6112859787</v>
      </c>
      <c r="N224" s="45">
        <f t="shared" si="73"/>
        <v>0.1528214947</v>
      </c>
      <c r="O224" s="185">
        <f t="shared" si="74"/>
        <v>0.9901381072</v>
      </c>
      <c r="P224" s="45">
        <f t="shared" si="75"/>
        <v>0.1237672634</v>
      </c>
      <c r="Q224" s="186">
        <f t="shared" si="76"/>
        <v>0.3876195985</v>
      </c>
      <c r="R224" s="45">
        <f t="shared" si="77"/>
        <v>0.02422622491</v>
      </c>
      <c r="S224" s="186">
        <f t="shared" si="78"/>
        <v>1.337437251</v>
      </c>
      <c r="T224" s="45">
        <f t="shared" si="79"/>
        <v>0.0417949141</v>
      </c>
      <c r="U224" s="186">
        <f t="shared" si="80"/>
        <v>3.525849614</v>
      </c>
      <c r="V224" s="187">
        <f t="shared" si="81"/>
        <v>0.05509140022</v>
      </c>
    </row>
    <row r="225">
      <c r="A225" s="162" t="s">
        <v>20</v>
      </c>
      <c r="B225" s="207" t="s">
        <v>17</v>
      </c>
      <c r="C225" s="178">
        <f t="shared" si="64"/>
        <v>1987</v>
      </c>
      <c r="D225" s="180">
        <f t="shared" si="65"/>
        <v>2583</v>
      </c>
      <c r="E225" s="180">
        <f t="shared" si="66"/>
        <v>4445</v>
      </c>
      <c r="F225" s="180">
        <f t="shared" si="67"/>
        <v>1552</v>
      </c>
      <c r="G225" s="211">
        <f t="shared" si="68"/>
        <v>450</v>
      </c>
      <c r="H225" s="168">
        <f t="shared" si="69"/>
        <v>450</v>
      </c>
      <c r="I225" s="168">
        <f>sequential!O7</f>
        <v>1162</v>
      </c>
      <c r="J225" s="212">
        <f t="shared" si="70"/>
        <v>2.582222222</v>
      </c>
      <c r="K225" s="183">
        <f t="shared" si="71"/>
        <v>0.04034722222</v>
      </c>
      <c r="M225" s="184">
        <f t="shared" si="72"/>
        <v>0.5848012079</v>
      </c>
      <c r="N225" s="45">
        <f t="shared" si="73"/>
        <v>0.146200302</v>
      </c>
      <c r="O225" s="185">
        <f t="shared" si="74"/>
        <v>0.4498644986</v>
      </c>
      <c r="P225" s="45">
        <f t="shared" si="75"/>
        <v>0.05623306233</v>
      </c>
      <c r="Q225" s="186">
        <f t="shared" si="76"/>
        <v>0.2614173228</v>
      </c>
      <c r="R225" s="45">
        <f t="shared" si="77"/>
        <v>0.01633858268</v>
      </c>
      <c r="S225" s="186">
        <f t="shared" si="78"/>
        <v>0.7487113402</v>
      </c>
      <c r="T225" s="45">
        <f t="shared" si="79"/>
        <v>0.02339722938</v>
      </c>
      <c r="U225" s="186">
        <f t="shared" si="80"/>
        <v>2.582222222</v>
      </c>
      <c r="V225" s="187">
        <f t="shared" si="81"/>
        <v>0.04034722222</v>
      </c>
    </row>
    <row r="226">
      <c r="A226" s="32"/>
      <c r="B226" s="217" t="s">
        <v>18</v>
      </c>
      <c r="C226" s="178">
        <f t="shared" si="64"/>
        <v>2761.851</v>
      </c>
      <c r="D226" s="180">
        <f t="shared" si="65"/>
        <v>2580.316</v>
      </c>
      <c r="E226" s="180">
        <f t="shared" si="66"/>
        <v>4669.748</v>
      </c>
      <c r="F226" s="180">
        <f t="shared" si="67"/>
        <v>1560.467</v>
      </c>
      <c r="G226" s="211">
        <f t="shared" si="68"/>
        <v>450.208</v>
      </c>
      <c r="H226" s="168">
        <f t="shared" si="69"/>
        <v>450.208</v>
      </c>
      <c r="I226" s="168">
        <f>sequential!O8</f>
        <v>1174.137</v>
      </c>
      <c r="J226" s="212">
        <f t="shared" si="70"/>
        <v>2.607987863</v>
      </c>
      <c r="K226" s="183">
        <f t="shared" si="71"/>
        <v>0.04074981037</v>
      </c>
      <c r="M226" s="184">
        <f t="shared" si="72"/>
        <v>0.4251268443</v>
      </c>
      <c r="N226" s="45">
        <f t="shared" si="73"/>
        <v>0.1062817111</v>
      </c>
      <c r="O226" s="185">
        <f t="shared" si="74"/>
        <v>0.4550361274</v>
      </c>
      <c r="P226" s="45">
        <f t="shared" si="75"/>
        <v>0.05687951592</v>
      </c>
      <c r="Q226" s="186">
        <f t="shared" si="76"/>
        <v>0.2514347669</v>
      </c>
      <c r="R226" s="45">
        <f t="shared" si="77"/>
        <v>0.01571467293</v>
      </c>
      <c r="S226" s="186">
        <f t="shared" si="78"/>
        <v>0.7524266774</v>
      </c>
      <c r="T226" s="45">
        <f t="shared" si="79"/>
        <v>0.02351333367</v>
      </c>
      <c r="U226" s="186">
        <f t="shared" si="80"/>
        <v>2.607987863</v>
      </c>
      <c r="V226" s="187">
        <f t="shared" si="81"/>
        <v>0.04074981037</v>
      </c>
      <c r="W226" s="218" t="s">
        <v>49</v>
      </c>
    </row>
    <row r="227">
      <c r="A227" s="25" t="s">
        <v>21</v>
      </c>
      <c r="B227" s="213" t="s">
        <v>17</v>
      </c>
      <c r="C227" s="29">
        <f t="shared" si="64"/>
        <v>4389</v>
      </c>
      <c r="D227" s="30">
        <f t="shared" si="65"/>
        <v>4853</v>
      </c>
      <c r="E227" s="30">
        <f t="shared" si="66"/>
        <v>3685</v>
      </c>
      <c r="F227" s="30">
        <f t="shared" si="67"/>
        <v>2718</v>
      </c>
      <c r="G227" s="214">
        <f t="shared" si="68"/>
        <v>830</v>
      </c>
      <c r="H227" s="190">
        <f t="shared" si="69"/>
        <v>830</v>
      </c>
      <c r="I227" s="190">
        <f>sequential!O9</f>
        <v>2400</v>
      </c>
      <c r="J227" s="215">
        <f t="shared" si="70"/>
        <v>2.891566265</v>
      </c>
      <c r="K227" s="192">
        <f t="shared" si="71"/>
        <v>0.04518072289</v>
      </c>
      <c r="M227" s="184">
        <f t="shared" si="72"/>
        <v>0.5468215995</v>
      </c>
      <c r="N227" s="45">
        <f t="shared" si="73"/>
        <v>0.1367053999</v>
      </c>
      <c r="O227" s="185">
        <f t="shared" si="74"/>
        <v>0.4945394601</v>
      </c>
      <c r="P227" s="45">
        <f t="shared" si="75"/>
        <v>0.06181743252</v>
      </c>
      <c r="Q227" s="186">
        <f t="shared" si="76"/>
        <v>0.6512890095</v>
      </c>
      <c r="R227" s="45">
        <f t="shared" si="77"/>
        <v>0.04070556309</v>
      </c>
      <c r="S227" s="186">
        <f t="shared" si="78"/>
        <v>0.8830022075</v>
      </c>
      <c r="T227" s="45">
        <f t="shared" si="79"/>
        <v>0.02759381898</v>
      </c>
      <c r="U227" s="186">
        <f t="shared" si="80"/>
        <v>2.891566265</v>
      </c>
      <c r="V227" s="187">
        <f t="shared" si="81"/>
        <v>0.04518072289</v>
      </c>
    </row>
    <row r="228">
      <c r="A228" s="32"/>
      <c r="B228" s="216" t="s">
        <v>18</v>
      </c>
      <c r="C228" s="29">
        <f t="shared" si="64"/>
        <v>4522.168</v>
      </c>
      <c r="D228" s="30">
        <f t="shared" si="65"/>
        <v>4865.441</v>
      </c>
      <c r="E228" s="30">
        <f t="shared" si="66"/>
        <v>6690.791</v>
      </c>
      <c r="F228" s="30">
        <f t="shared" si="67"/>
        <v>2725.468</v>
      </c>
      <c r="G228" s="214">
        <f t="shared" si="68"/>
        <v>829.8356</v>
      </c>
      <c r="H228" s="190">
        <f t="shared" si="69"/>
        <v>829.8356</v>
      </c>
      <c r="I228" s="190">
        <f>sequential!O10</f>
        <v>2400.128</v>
      </c>
      <c r="J228" s="215">
        <f t="shared" si="70"/>
        <v>2.892293365</v>
      </c>
      <c r="K228" s="192">
        <f t="shared" si="71"/>
        <v>0.04519208383</v>
      </c>
      <c r="M228" s="184">
        <f t="shared" si="72"/>
        <v>0.5307471991</v>
      </c>
      <c r="N228" s="45">
        <f t="shared" si="73"/>
        <v>0.1326867998</v>
      </c>
      <c r="O228" s="185">
        <f t="shared" si="74"/>
        <v>0.4933012239</v>
      </c>
      <c r="P228" s="45">
        <f t="shared" si="75"/>
        <v>0.06166265298</v>
      </c>
      <c r="Q228" s="186">
        <f t="shared" si="76"/>
        <v>0.3587211138</v>
      </c>
      <c r="R228" s="45">
        <f t="shared" si="77"/>
        <v>0.02242006962</v>
      </c>
      <c r="S228" s="186">
        <f t="shared" si="78"/>
        <v>0.8806296753</v>
      </c>
      <c r="T228" s="45">
        <f t="shared" si="79"/>
        <v>0.02751967735</v>
      </c>
      <c r="U228" s="186">
        <f t="shared" si="80"/>
        <v>2.892293365</v>
      </c>
      <c r="V228" s="187">
        <f t="shared" si="81"/>
        <v>0.04519208383</v>
      </c>
    </row>
    <row r="229">
      <c r="A229" s="162" t="s">
        <v>22</v>
      </c>
      <c r="B229" s="207" t="s">
        <v>17</v>
      </c>
      <c r="C229" s="178">
        <f t="shared" si="64"/>
        <v>5871</v>
      </c>
      <c r="D229" s="180">
        <f t="shared" si="65"/>
        <v>7578</v>
      </c>
      <c r="E229" s="180">
        <f t="shared" si="66"/>
        <v>7732</v>
      </c>
      <c r="F229" s="180">
        <f t="shared" si="67"/>
        <v>6590</v>
      </c>
      <c r="G229" s="211">
        <f t="shared" si="68"/>
        <v>3484</v>
      </c>
      <c r="H229" s="168">
        <f t="shared" si="69"/>
        <v>3484</v>
      </c>
      <c r="I229" s="168">
        <f>sequential!O11</f>
        <v>3735</v>
      </c>
      <c r="J229" s="212">
        <f t="shared" si="70"/>
        <v>1.072043628</v>
      </c>
      <c r="K229" s="183">
        <f t="shared" si="71"/>
        <v>0.01675068169</v>
      </c>
      <c r="M229" s="184">
        <f t="shared" si="72"/>
        <v>0.6361778232</v>
      </c>
      <c r="N229" s="45">
        <f t="shared" si="73"/>
        <v>0.1590444558</v>
      </c>
      <c r="O229" s="185">
        <f t="shared" si="74"/>
        <v>0.4928741093</v>
      </c>
      <c r="P229" s="45">
        <f t="shared" si="75"/>
        <v>0.06160926366</v>
      </c>
      <c r="Q229" s="186">
        <f t="shared" si="76"/>
        <v>0.4830574237</v>
      </c>
      <c r="R229" s="45">
        <f t="shared" si="77"/>
        <v>0.03019108898</v>
      </c>
      <c r="S229" s="186">
        <f t="shared" si="78"/>
        <v>0.56676783</v>
      </c>
      <c r="T229" s="45">
        <f t="shared" si="79"/>
        <v>0.01771149469</v>
      </c>
      <c r="U229" s="186">
        <f t="shared" si="80"/>
        <v>1.072043628</v>
      </c>
      <c r="V229" s="187">
        <f t="shared" si="81"/>
        <v>0.01675068169</v>
      </c>
    </row>
    <row r="230">
      <c r="A230" s="32"/>
      <c r="B230" s="219" t="s">
        <v>18</v>
      </c>
      <c r="C230" s="195">
        <f t="shared" si="64"/>
        <v>9228.549</v>
      </c>
      <c r="D230" s="197">
        <f t="shared" si="65"/>
        <v>7593.95</v>
      </c>
      <c r="E230" s="197">
        <f t="shared" si="66"/>
        <v>9011.835</v>
      </c>
      <c r="F230" s="197">
        <f t="shared" si="67"/>
        <v>6598.482</v>
      </c>
      <c r="G230" s="220">
        <f t="shared" si="68"/>
        <v>3486.738</v>
      </c>
      <c r="H230" s="199">
        <f t="shared" si="69"/>
        <v>3486.738</v>
      </c>
      <c r="I230" s="199">
        <f>sequential!O12</f>
        <v>3743.021</v>
      </c>
      <c r="J230" s="221">
        <f t="shared" si="70"/>
        <v>1.073502225</v>
      </c>
      <c r="K230" s="201">
        <f t="shared" si="71"/>
        <v>0.01677347226</v>
      </c>
      <c r="M230" s="202">
        <f t="shared" si="72"/>
        <v>0.4055914966</v>
      </c>
      <c r="N230" s="203">
        <f t="shared" si="73"/>
        <v>0.1013978741</v>
      </c>
      <c r="O230" s="204">
        <f t="shared" si="74"/>
        <v>0.4928951336</v>
      </c>
      <c r="P230" s="203">
        <f t="shared" si="75"/>
        <v>0.0616118917</v>
      </c>
      <c r="Q230" s="205">
        <f t="shared" si="76"/>
        <v>0.4153450435</v>
      </c>
      <c r="R230" s="203">
        <f t="shared" si="77"/>
        <v>0.02595906522</v>
      </c>
      <c r="S230" s="205">
        <f t="shared" si="78"/>
        <v>0.5672548626</v>
      </c>
      <c r="T230" s="203">
        <f t="shared" si="79"/>
        <v>0.01772671445</v>
      </c>
      <c r="U230" s="205">
        <f t="shared" si="80"/>
        <v>1.073502225</v>
      </c>
      <c r="V230" s="206">
        <f t="shared" si="81"/>
        <v>0.01677347226</v>
      </c>
    </row>
    <row r="231">
      <c r="O231" s="41"/>
      <c r="P231" s="45"/>
      <c r="R231" s="45"/>
      <c r="T231" s="45"/>
      <c r="V231" s="45"/>
    </row>
    <row r="232">
      <c r="A232" s="1" t="s">
        <v>50</v>
      </c>
      <c r="B232" s="2"/>
      <c r="C232" s="2"/>
      <c r="D232" s="2"/>
      <c r="E232" s="2"/>
      <c r="F232" s="2"/>
      <c r="G232" s="2"/>
      <c r="H232" s="2"/>
      <c r="I232" s="2"/>
      <c r="J232" s="2"/>
      <c r="K232" s="3"/>
      <c r="M232" s="1" t="s">
        <v>39</v>
      </c>
      <c r="N232" s="3"/>
      <c r="O232" s="159" t="s">
        <v>40</v>
      </c>
      <c r="P232" s="3"/>
      <c r="Q232" s="1" t="s">
        <v>41</v>
      </c>
      <c r="R232" s="3"/>
      <c r="S232" s="1" t="s">
        <v>42</v>
      </c>
      <c r="T232" s="3"/>
      <c r="U232" s="1" t="s">
        <v>43</v>
      </c>
      <c r="V232" s="3"/>
    </row>
    <row r="233">
      <c r="A233" s="4" t="s">
        <v>1</v>
      </c>
      <c r="B233" s="4" t="s">
        <v>2</v>
      </c>
      <c r="C233" s="7" t="s">
        <v>39</v>
      </c>
      <c r="D233" s="7" t="s">
        <v>40</v>
      </c>
      <c r="E233" s="7" t="s">
        <v>41</v>
      </c>
      <c r="F233" s="7" t="s">
        <v>42</v>
      </c>
      <c r="G233" s="7" t="s">
        <v>43</v>
      </c>
      <c r="H233" s="160" t="s">
        <v>44</v>
      </c>
      <c r="I233" s="160" t="s">
        <v>45</v>
      </c>
      <c r="J233" s="160" t="s">
        <v>46</v>
      </c>
      <c r="K233" s="160" t="s">
        <v>47</v>
      </c>
      <c r="M233" s="160" t="s">
        <v>46</v>
      </c>
      <c r="N233" s="160" t="s">
        <v>47</v>
      </c>
      <c r="O233" s="8" t="s">
        <v>46</v>
      </c>
      <c r="P233" s="161" t="s">
        <v>47</v>
      </c>
      <c r="Q233" s="160" t="s">
        <v>46</v>
      </c>
      <c r="R233" s="161" t="s">
        <v>47</v>
      </c>
      <c r="S233" s="160" t="s">
        <v>46</v>
      </c>
      <c r="T233" s="161" t="s">
        <v>47</v>
      </c>
      <c r="U233" s="160" t="s">
        <v>46</v>
      </c>
      <c r="V233" s="161" t="s">
        <v>47</v>
      </c>
    </row>
    <row r="234">
      <c r="A234" s="162" t="s">
        <v>16</v>
      </c>
      <c r="B234" s="207" t="s">
        <v>17</v>
      </c>
      <c r="C234" s="164">
        <f t="shared" ref="C234:C243" si="82">O29</f>
        <v>502</v>
      </c>
      <c r="D234" s="166">
        <f t="shared" ref="D234:D243" si="83">O70</f>
        <v>194</v>
      </c>
      <c r="E234" s="165">
        <f t="shared" ref="E234:E243" si="84">O111</f>
        <v>180</v>
      </c>
      <c r="F234" s="166">
        <f t="shared" ref="F234:F243" si="85">O152</f>
        <v>264</v>
      </c>
      <c r="G234" s="222">
        <f t="shared" ref="G234:G243" si="86">O193</f>
        <v>482</v>
      </c>
      <c r="H234" s="168">
        <f t="shared" ref="H234:H243" si="87">MIN(C234:G234)</f>
        <v>180</v>
      </c>
      <c r="I234" s="168">
        <f>sequential!O3</f>
        <v>284</v>
      </c>
      <c r="J234" s="170">
        <f t="shared" ref="J234:J243" si="88">I234/H234</f>
        <v>1.577777778</v>
      </c>
      <c r="K234" s="171">
        <f t="shared" ref="K234:K243" si="89">J234/64</f>
        <v>0.02465277778</v>
      </c>
      <c r="M234" s="172">
        <f t="shared" ref="M234:M243" si="90">I234/C234</f>
        <v>0.5657370518</v>
      </c>
      <c r="N234" s="173">
        <f t="shared" ref="N234:N243" si="91">M234/4</f>
        <v>0.1414342629</v>
      </c>
      <c r="O234" s="174">
        <f t="shared" ref="O234:O243" si="92">I234/D234</f>
        <v>1.463917526</v>
      </c>
      <c r="P234" s="173">
        <f t="shared" ref="P234:P243" si="93">O234/8</f>
        <v>0.1829896907</v>
      </c>
      <c r="Q234" s="175">
        <f t="shared" ref="Q234:Q243" si="94">I234/E234</f>
        <v>1.577777778</v>
      </c>
      <c r="R234" s="173">
        <f t="shared" ref="R234:R243" si="95">Q234/16</f>
        <v>0.09861111111</v>
      </c>
      <c r="S234" s="175">
        <f t="shared" ref="S234:S243" si="96">I234/F234</f>
        <v>1.075757576</v>
      </c>
      <c r="T234" s="173">
        <f t="shared" ref="T234:T243" si="97">S234/32</f>
        <v>0.03361742424</v>
      </c>
      <c r="U234" s="175">
        <f t="shared" ref="U234:U243" si="98">I234/G234</f>
        <v>0.5892116183</v>
      </c>
      <c r="V234" s="176">
        <f t="shared" ref="V234:V243" si="99">U234/64</f>
        <v>0.009206431535</v>
      </c>
    </row>
    <row r="235">
      <c r="A235" s="32"/>
      <c r="B235" s="210" t="s">
        <v>18</v>
      </c>
      <c r="C235" s="178">
        <f t="shared" si="82"/>
        <v>495.3789</v>
      </c>
      <c r="D235" s="180">
        <f t="shared" si="83"/>
        <v>198.8585</v>
      </c>
      <c r="E235" s="179">
        <f t="shared" si="84"/>
        <v>180.1066</v>
      </c>
      <c r="F235" s="180">
        <f t="shared" si="85"/>
        <v>273.9738</v>
      </c>
      <c r="G235" s="223">
        <f t="shared" si="86"/>
        <v>485.9319</v>
      </c>
      <c r="H235" s="168">
        <f t="shared" si="87"/>
        <v>180.1066</v>
      </c>
      <c r="I235" s="168">
        <f>sequential!O4</f>
        <v>282.7915</v>
      </c>
      <c r="J235" s="182">
        <f t="shared" si="88"/>
        <v>1.570134021</v>
      </c>
      <c r="K235" s="183">
        <f t="shared" si="89"/>
        <v>0.02453334407</v>
      </c>
      <c r="M235" s="184">
        <f t="shared" si="90"/>
        <v>0.570858993</v>
      </c>
      <c r="N235" s="45">
        <f t="shared" si="91"/>
        <v>0.1427147482</v>
      </c>
      <c r="O235" s="185">
        <f t="shared" si="92"/>
        <v>1.422073987</v>
      </c>
      <c r="P235" s="45">
        <f t="shared" si="93"/>
        <v>0.1777592484</v>
      </c>
      <c r="Q235" s="186">
        <f t="shared" si="94"/>
        <v>1.570134021</v>
      </c>
      <c r="R235" s="45">
        <f t="shared" si="95"/>
        <v>0.09813337629</v>
      </c>
      <c r="S235" s="186">
        <f t="shared" si="96"/>
        <v>1.032184464</v>
      </c>
      <c r="T235" s="45">
        <f t="shared" si="97"/>
        <v>0.03225576451</v>
      </c>
      <c r="U235" s="186">
        <f t="shared" si="98"/>
        <v>0.5819570602</v>
      </c>
      <c r="V235" s="187">
        <f t="shared" si="99"/>
        <v>0.009093079066</v>
      </c>
    </row>
    <row r="236">
      <c r="A236" s="25" t="s">
        <v>19</v>
      </c>
      <c r="B236" s="213" t="s">
        <v>17</v>
      </c>
      <c r="C236" s="29">
        <f t="shared" si="82"/>
        <v>989</v>
      </c>
      <c r="D236" s="30">
        <f t="shared" si="83"/>
        <v>401</v>
      </c>
      <c r="E236" s="188">
        <f t="shared" si="84"/>
        <v>350</v>
      </c>
      <c r="F236" s="30">
        <f t="shared" si="85"/>
        <v>627</v>
      </c>
      <c r="G236" s="224">
        <f t="shared" si="86"/>
        <v>981</v>
      </c>
      <c r="H236" s="190">
        <f t="shared" si="87"/>
        <v>350</v>
      </c>
      <c r="I236" s="190">
        <f>sequential!O5</f>
        <v>826</v>
      </c>
      <c r="J236" s="191">
        <f t="shared" si="88"/>
        <v>2.36</v>
      </c>
      <c r="K236" s="192">
        <f t="shared" si="89"/>
        <v>0.036875</v>
      </c>
      <c r="M236" s="184">
        <f t="shared" si="90"/>
        <v>0.8351870576</v>
      </c>
      <c r="N236" s="45">
        <f t="shared" si="91"/>
        <v>0.2087967644</v>
      </c>
      <c r="O236" s="185">
        <f t="shared" si="92"/>
        <v>2.059850374</v>
      </c>
      <c r="P236" s="45">
        <f t="shared" si="93"/>
        <v>0.2574812968</v>
      </c>
      <c r="Q236" s="186">
        <f t="shared" si="94"/>
        <v>2.36</v>
      </c>
      <c r="R236" s="45">
        <f t="shared" si="95"/>
        <v>0.1475</v>
      </c>
      <c r="S236" s="186">
        <f t="shared" si="96"/>
        <v>1.31738437</v>
      </c>
      <c r="T236" s="45">
        <f t="shared" si="97"/>
        <v>0.04116826156</v>
      </c>
      <c r="U236" s="186">
        <f t="shared" si="98"/>
        <v>0.8419979613</v>
      </c>
      <c r="V236" s="187">
        <f t="shared" si="99"/>
        <v>0.01315621814</v>
      </c>
    </row>
    <row r="237">
      <c r="A237" s="32"/>
      <c r="B237" s="216" t="s">
        <v>18</v>
      </c>
      <c r="C237" s="29">
        <f t="shared" si="82"/>
        <v>980.9307</v>
      </c>
      <c r="D237" s="30">
        <f t="shared" si="83"/>
        <v>408.707</v>
      </c>
      <c r="E237" s="188">
        <f t="shared" si="84"/>
        <v>347.3366</v>
      </c>
      <c r="F237" s="30">
        <f t="shared" si="85"/>
        <v>630.475</v>
      </c>
      <c r="G237" s="224">
        <f t="shared" si="86"/>
        <v>983.7649</v>
      </c>
      <c r="H237" s="190">
        <f t="shared" si="87"/>
        <v>347.3366</v>
      </c>
      <c r="I237" s="190">
        <f>sequential!O6</f>
        <v>827.5504</v>
      </c>
      <c r="J237" s="191">
        <f t="shared" si="88"/>
        <v>2.382560318</v>
      </c>
      <c r="K237" s="192">
        <f t="shared" si="89"/>
        <v>0.03722750496</v>
      </c>
      <c r="M237" s="184">
        <f t="shared" si="90"/>
        <v>0.8436379858</v>
      </c>
      <c r="N237" s="45">
        <f t="shared" si="91"/>
        <v>0.2109094965</v>
      </c>
      <c r="O237" s="185">
        <f t="shared" si="92"/>
        <v>2.024801141</v>
      </c>
      <c r="P237" s="45">
        <f t="shared" si="93"/>
        <v>0.2531001426</v>
      </c>
      <c r="Q237" s="186">
        <f t="shared" si="94"/>
        <v>2.382560318</v>
      </c>
      <c r="R237" s="45">
        <f t="shared" si="95"/>
        <v>0.1489100198</v>
      </c>
      <c r="S237" s="186">
        <f t="shared" si="96"/>
        <v>1.312582418</v>
      </c>
      <c r="T237" s="45">
        <f t="shared" si="97"/>
        <v>0.04101820056</v>
      </c>
      <c r="U237" s="186">
        <f t="shared" si="98"/>
        <v>0.8412074877</v>
      </c>
      <c r="V237" s="187">
        <f t="shared" si="99"/>
        <v>0.013143867</v>
      </c>
    </row>
    <row r="238">
      <c r="A238" s="162" t="s">
        <v>20</v>
      </c>
      <c r="B238" s="207" t="s">
        <v>17</v>
      </c>
      <c r="C238" s="178">
        <f t="shared" si="82"/>
        <v>1798</v>
      </c>
      <c r="D238" s="179">
        <f t="shared" si="83"/>
        <v>735</v>
      </c>
      <c r="E238" s="180">
        <f t="shared" si="84"/>
        <v>1130</v>
      </c>
      <c r="F238" s="180">
        <f t="shared" si="85"/>
        <v>2111</v>
      </c>
      <c r="G238" s="223">
        <f t="shared" si="86"/>
        <v>2016</v>
      </c>
      <c r="H238" s="168">
        <f t="shared" si="87"/>
        <v>735</v>
      </c>
      <c r="I238" s="168">
        <f>sequential!O7</f>
        <v>1162</v>
      </c>
      <c r="J238" s="182">
        <f t="shared" si="88"/>
        <v>1.580952381</v>
      </c>
      <c r="K238" s="183">
        <f t="shared" si="89"/>
        <v>0.02470238095</v>
      </c>
      <c r="M238" s="184">
        <f t="shared" si="90"/>
        <v>0.6462736374</v>
      </c>
      <c r="N238" s="45">
        <f t="shared" si="91"/>
        <v>0.1615684093</v>
      </c>
      <c r="O238" s="185">
        <f t="shared" si="92"/>
        <v>1.580952381</v>
      </c>
      <c r="P238" s="45">
        <f t="shared" si="93"/>
        <v>0.1976190476</v>
      </c>
      <c r="Q238" s="186">
        <f t="shared" si="94"/>
        <v>1.028318584</v>
      </c>
      <c r="R238" s="45">
        <f t="shared" si="95"/>
        <v>0.0642699115</v>
      </c>
      <c r="S238" s="186">
        <f t="shared" si="96"/>
        <v>0.5504500237</v>
      </c>
      <c r="T238" s="45">
        <f t="shared" si="97"/>
        <v>0.01720156324</v>
      </c>
      <c r="U238" s="186">
        <f t="shared" si="98"/>
        <v>0.5763888889</v>
      </c>
      <c r="V238" s="187">
        <f t="shared" si="99"/>
        <v>0.009006076389</v>
      </c>
    </row>
    <row r="239">
      <c r="A239" s="32"/>
      <c r="B239" s="217" t="s">
        <v>18</v>
      </c>
      <c r="C239" s="178">
        <f t="shared" si="82"/>
        <v>1798.815</v>
      </c>
      <c r="D239" s="179">
        <f t="shared" si="83"/>
        <v>737.5002</v>
      </c>
      <c r="E239" s="180">
        <f t="shared" si="84"/>
        <v>1137.255</v>
      </c>
      <c r="F239" s="180">
        <f t="shared" si="85"/>
        <v>2116.572</v>
      </c>
      <c r="G239" s="223">
        <f t="shared" si="86"/>
        <v>2021.002</v>
      </c>
      <c r="H239" s="168">
        <f t="shared" si="87"/>
        <v>737.5002</v>
      </c>
      <c r="I239" s="168">
        <f>sequential!O8</f>
        <v>1174.137</v>
      </c>
      <c r="J239" s="182">
        <f t="shared" si="88"/>
        <v>1.592049738</v>
      </c>
      <c r="K239" s="183">
        <f t="shared" si="89"/>
        <v>0.02487577715</v>
      </c>
      <c r="M239" s="184">
        <f t="shared" si="90"/>
        <v>0.652728046</v>
      </c>
      <c r="N239" s="45">
        <f t="shared" si="91"/>
        <v>0.1631820115</v>
      </c>
      <c r="O239" s="185">
        <f t="shared" si="92"/>
        <v>1.592049738</v>
      </c>
      <c r="P239" s="45">
        <f t="shared" si="93"/>
        <v>0.1990062172</v>
      </c>
      <c r="Q239" s="186">
        <f t="shared" si="94"/>
        <v>1.032430721</v>
      </c>
      <c r="R239" s="45">
        <f t="shared" si="95"/>
        <v>0.06452692008</v>
      </c>
      <c r="S239" s="186">
        <f t="shared" si="96"/>
        <v>0.5547352039</v>
      </c>
      <c r="T239" s="45">
        <f t="shared" si="97"/>
        <v>0.01733547512</v>
      </c>
      <c r="U239" s="186">
        <f t="shared" si="98"/>
        <v>0.5809677576</v>
      </c>
      <c r="V239" s="187">
        <f t="shared" si="99"/>
        <v>0.009077621212</v>
      </c>
    </row>
    <row r="240">
      <c r="A240" s="25" t="s">
        <v>21</v>
      </c>
      <c r="B240" s="213" t="s">
        <v>17</v>
      </c>
      <c r="C240" s="29">
        <f t="shared" si="82"/>
        <v>3671</v>
      </c>
      <c r="D240" s="188">
        <f t="shared" si="83"/>
        <v>1292</v>
      </c>
      <c r="E240" s="30">
        <f t="shared" si="84"/>
        <v>1933</v>
      </c>
      <c r="F240" s="30">
        <f t="shared" si="85"/>
        <v>3912</v>
      </c>
      <c r="G240" s="224">
        <f t="shared" si="86"/>
        <v>4121</v>
      </c>
      <c r="H240" s="190">
        <f t="shared" si="87"/>
        <v>1292</v>
      </c>
      <c r="I240" s="190">
        <f>sequential!O9</f>
        <v>2400</v>
      </c>
      <c r="J240" s="191">
        <f t="shared" si="88"/>
        <v>1.857585139</v>
      </c>
      <c r="K240" s="192">
        <f t="shared" si="89"/>
        <v>0.0290247678</v>
      </c>
      <c r="M240" s="184">
        <f t="shared" si="90"/>
        <v>0.6537728139</v>
      </c>
      <c r="N240" s="45">
        <f t="shared" si="91"/>
        <v>0.1634432035</v>
      </c>
      <c r="O240" s="185">
        <f t="shared" si="92"/>
        <v>1.857585139</v>
      </c>
      <c r="P240" s="45">
        <f t="shared" si="93"/>
        <v>0.2321981424</v>
      </c>
      <c r="Q240" s="186">
        <f t="shared" si="94"/>
        <v>1.241593378</v>
      </c>
      <c r="R240" s="45">
        <f t="shared" si="95"/>
        <v>0.07759958614</v>
      </c>
      <c r="S240" s="186">
        <f t="shared" si="96"/>
        <v>0.6134969325</v>
      </c>
      <c r="T240" s="45">
        <f t="shared" si="97"/>
        <v>0.01917177914</v>
      </c>
      <c r="U240" s="186">
        <f t="shared" si="98"/>
        <v>0.5823829168</v>
      </c>
      <c r="V240" s="187">
        <f t="shared" si="99"/>
        <v>0.009099733074</v>
      </c>
    </row>
    <row r="241">
      <c r="A241" s="32"/>
      <c r="B241" s="216" t="s">
        <v>18</v>
      </c>
      <c r="C241" s="29">
        <f t="shared" si="82"/>
        <v>3683.267</v>
      </c>
      <c r="D241" s="188">
        <f t="shared" si="83"/>
        <v>1302.12</v>
      </c>
      <c r="E241" s="30">
        <f t="shared" si="84"/>
        <v>1929.073</v>
      </c>
      <c r="F241" s="30">
        <f t="shared" si="85"/>
        <v>3924.147</v>
      </c>
      <c r="G241" s="224">
        <f t="shared" si="86"/>
        <v>4129.802</v>
      </c>
      <c r="H241" s="190">
        <f t="shared" si="87"/>
        <v>1302.12</v>
      </c>
      <c r="I241" s="190">
        <f>sequential!O10</f>
        <v>2400.128</v>
      </c>
      <c r="J241" s="191">
        <f t="shared" si="88"/>
        <v>1.843246398</v>
      </c>
      <c r="K241" s="192">
        <f t="shared" si="89"/>
        <v>0.02880072497</v>
      </c>
      <c r="M241" s="184">
        <f t="shared" si="90"/>
        <v>0.6516301968</v>
      </c>
      <c r="N241" s="45">
        <f t="shared" si="91"/>
        <v>0.1629075492</v>
      </c>
      <c r="O241" s="185">
        <f t="shared" si="92"/>
        <v>1.843246398</v>
      </c>
      <c r="P241" s="45">
        <f t="shared" si="93"/>
        <v>0.2304057998</v>
      </c>
      <c r="Q241" s="186">
        <f t="shared" si="94"/>
        <v>1.244187234</v>
      </c>
      <c r="R241" s="45">
        <f t="shared" si="95"/>
        <v>0.07776170212</v>
      </c>
      <c r="S241" s="186">
        <f t="shared" si="96"/>
        <v>0.6116305021</v>
      </c>
      <c r="T241" s="45">
        <f t="shared" si="97"/>
        <v>0.01911345319</v>
      </c>
      <c r="U241" s="186">
        <f t="shared" si="98"/>
        <v>0.5811726567</v>
      </c>
      <c r="V241" s="187">
        <f t="shared" si="99"/>
        <v>0.009080822761</v>
      </c>
    </row>
    <row r="242">
      <c r="A242" s="162" t="s">
        <v>22</v>
      </c>
      <c r="B242" s="207" t="s">
        <v>17</v>
      </c>
      <c r="C242" s="178">
        <f t="shared" si="82"/>
        <v>6534</v>
      </c>
      <c r="D242" s="179">
        <f t="shared" si="83"/>
        <v>2248</v>
      </c>
      <c r="E242" s="180">
        <f t="shared" si="84"/>
        <v>3512</v>
      </c>
      <c r="F242" s="180">
        <f t="shared" si="85"/>
        <v>7855</v>
      </c>
      <c r="G242" s="223">
        <f t="shared" si="86"/>
        <v>6682</v>
      </c>
      <c r="H242" s="168">
        <f t="shared" si="87"/>
        <v>2248</v>
      </c>
      <c r="I242" s="168">
        <f>sequential!O11</f>
        <v>3735</v>
      </c>
      <c r="J242" s="182">
        <f t="shared" si="88"/>
        <v>1.661476868</v>
      </c>
      <c r="K242" s="183">
        <f t="shared" si="89"/>
        <v>0.02596057607</v>
      </c>
      <c r="M242" s="184">
        <f t="shared" si="90"/>
        <v>0.5716253444</v>
      </c>
      <c r="N242" s="45">
        <f t="shared" si="91"/>
        <v>0.1429063361</v>
      </c>
      <c r="O242" s="185">
        <f t="shared" si="92"/>
        <v>1.661476868</v>
      </c>
      <c r="P242" s="45">
        <f t="shared" si="93"/>
        <v>0.2076846085</v>
      </c>
      <c r="Q242" s="186">
        <f t="shared" si="94"/>
        <v>1.063496583</v>
      </c>
      <c r="R242" s="45">
        <f t="shared" si="95"/>
        <v>0.06646853645</v>
      </c>
      <c r="S242" s="186">
        <f t="shared" si="96"/>
        <v>0.4754933164</v>
      </c>
      <c r="T242" s="45">
        <f t="shared" si="97"/>
        <v>0.01485916614</v>
      </c>
      <c r="U242" s="186">
        <f t="shared" si="98"/>
        <v>0.5589643819</v>
      </c>
      <c r="V242" s="187">
        <f t="shared" si="99"/>
        <v>0.008733818468</v>
      </c>
    </row>
    <row r="243">
      <c r="A243" s="32"/>
      <c r="B243" s="219" t="s">
        <v>18</v>
      </c>
      <c r="C243" s="195">
        <f t="shared" si="82"/>
        <v>6551.813</v>
      </c>
      <c r="D243" s="196">
        <f t="shared" si="83"/>
        <v>2262.799</v>
      </c>
      <c r="E243" s="197">
        <f t="shared" si="84"/>
        <v>3518.874</v>
      </c>
      <c r="F243" s="197">
        <f t="shared" si="85"/>
        <v>7882.44</v>
      </c>
      <c r="G243" s="225">
        <f t="shared" si="86"/>
        <v>6698.115</v>
      </c>
      <c r="H243" s="199">
        <f t="shared" si="87"/>
        <v>2262.799</v>
      </c>
      <c r="I243" s="199">
        <f>sequential!O12</f>
        <v>3743.021</v>
      </c>
      <c r="J243" s="200">
        <f t="shared" si="88"/>
        <v>1.654155318</v>
      </c>
      <c r="K243" s="201">
        <f t="shared" si="89"/>
        <v>0.02584617685</v>
      </c>
      <c r="M243" s="202">
        <f t="shared" si="90"/>
        <v>0.5712954567</v>
      </c>
      <c r="N243" s="203">
        <f t="shared" si="91"/>
        <v>0.1428238642</v>
      </c>
      <c r="O243" s="204">
        <f t="shared" si="92"/>
        <v>1.654155318</v>
      </c>
      <c r="P243" s="203">
        <f t="shared" si="93"/>
        <v>0.2067694148</v>
      </c>
      <c r="Q243" s="205">
        <f t="shared" si="94"/>
        <v>1.063698501</v>
      </c>
      <c r="R243" s="203">
        <f t="shared" si="95"/>
        <v>0.06648115633</v>
      </c>
      <c r="S243" s="205">
        <f t="shared" si="96"/>
        <v>0.4748556285</v>
      </c>
      <c r="T243" s="203">
        <f t="shared" si="97"/>
        <v>0.01483923839</v>
      </c>
      <c r="U243" s="205">
        <f t="shared" si="98"/>
        <v>0.5588170702</v>
      </c>
      <c r="V243" s="206">
        <f t="shared" si="99"/>
        <v>0.008731516721</v>
      </c>
    </row>
    <row r="244">
      <c r="O244" s="41"/>
      <c r="P244" s="45"/>
      <c r="R244" s="45"/>
      <c r="T244" s="45"/>
      <c r="V244" s="45"/>
    </row>
    <row r="245">
      <c r="O245" s="41"/>
      <c r="P245" s="45"/>
      <c r="R245" s="45"/>
      <c r="T245" s="45"/>
      <c r="V245" s="45"/>
    </row>
    <row r="246">
      <c r="O246" s="41"/>
      <c r="P246" s="45"/>
      <c r="R246" s="45"/>
      <c r="T246" s="45"/>
      <c r="V246" s="45"/>
    </row>
    <row r="247">
      <c r="A247" s="1" t="s">
        <v>51</v>
      </c>
      <c r="B247" s="2"/>
      <c r="C247" s="2"/>
      <c r="D247" s="2"/>
      <c r="E247" s="2"/>
      <c r="F247" s="3"/>
      <c r="O247" s="41"/>
      <c r="P247" s="45"/>
      <c r="R247" s="45"/>
      <c r="T247" s="45"/>
      <c r="V247" s="45"/>
    </row>
    <row r="248">
      <c r="A248" s="4" t="s">
        <v>1</v>
      </c>
      <c r="B248" s="4" t="s">
        <v>2</v>
      </c>
      <c r="C248" s="160" t="s">
        <v>52</v>
      </c>
      <c r="D248" s="160" t="s">
        <v>53</v>
      </c>
      <c r="E248" s="160" t="s">
        <v>54</v>
      </c>
      <c r="F248" s="7" t="s">
        <v>44</v>
      </c>
      <c r="O248" s="41"/>
      <c r="P248" s="45"/>
      <c r="R248" s="45"/>
      <c r="T248" s="45"/>
      <c r="V248" s="45"/>
    </row>
    <row r="249">
      <c r="A249" s="226" t="s">
        <v>16</v>
      </c>
      <c r="B249" s="227" t="s">
        <v>17</v>
      </c>
      <c r="C249" s="228">
        <f t="shared" ref="C249:C258" si="100">H208</f>
        <v>326</v>
      </c>
      <c r="D249" s="229">
        <f t="shared" ref="D249:D258" si="101">H221</f>
        <v>130</v>
      </c>
      <c r="E249" s="230">
        <f t="shared" ref="E249:E258" si="102">H234</f>
        <v>180</v>
      </c>
      <c r="F249" s="231">
        <f t="shared" ref="F249:F258" si="103">MIN(C249:E249)</f>
        <v>130</v>
      </c>
      <c r="O249" s="41"/>
      <c r="P249" s="45"/>
      <c r="R249" s="45"/>
      <c r="T249" s="45"/>
      <c r="V249" s="45"/>
    </row>
    <row r="250">
      <c r="A250" s="32"/>
      <c r="B250" s="232" t="s">
        <v>18</v>
      </c>
      <c r="C250" s="233">
        <f t="shared" si="100"/>
        <v>330.6993</v>
      </c>
      <c r="D250" s="234">
        <f t="shared" si="101"/>
        <v>124.7916</v>
      </c>
      <c r="E250" s="235">
        <f t="shared" si="102"/>
        <v>180.1066</v>
      </c>
      <c r="F250" s="236">
        <f t="shared" si="103"/>
        <v>124.7916</v>
      </c>
      <c r="O250" s="41"/>
      <c r="P250" s="45"/>
      <c r="R250" s="45"/>
      <c r="T250" s="45"/>
      <c r="V250" s="45"/>
    </row>
    <row r="251">
      <c r="A251" s="25" t="s">
        <v>19</v>
      </c>
      <c r="B251" s="213" t="s">
        <v>17</v>
      </c>
      <c r="C251" s="29">
        <f t="shared" si="100"/>
        <v>619</v>
      </c>
      <c r="D251" s="188">
        <f t="shared" si="101"/>
        <v>240</v>
      </c>
      <c r="E251" s="30">
        <f t="shared" si="102"/>
        <v>350</v>
      </c>
      <c r="F251" s="237">
        <f t="shared" si="103"/>
        <v>240</v>
      </c>
      <c r="O251" s="41"/>
      <c r="P251" s="45"/>
      <c r="R251" s="45"/>
      <c r="T251" s="45"/>
      <c r="V251" s="45"/>
    </row>
    <row r="252">
      <c r="A252" s="32"/>
      <c r="B252" s="216" t="s">
        <v>18</v>
      </c>
      <c r="C252" s="29">
        <f t="shared" si="100"/>
        <v>627.6572</v>
      </c>
      <c r="D252" s="188">
        <f t="shared" si="101"/>
        <v>234.7095</v>
      </c>
      <c r="E252" s="30">
        <f t="shared" si="102"/>
        <v>347.3366</v>
      </c>
      <c r="F252" s="237">
        <f t="shared" si="103"/>
        <v>234.7095</v>
      </c>
      <c r="O252" s="41"/>
      <c r="P252" s="45"/>
      <c r="R252" s="45"/>
      <c r="T252" s="45"/>
      <c r="V252" s="45"/>
    </row>
    <row r="253">
      <c r="A253" s="226" t="s">
        <v>20</v>
      </c>
      <c r="B253" s="227" t="s">
        <v>17</v>
      </c>
      <c r="C253" s="233">
        <f t="shared" si="100"/>
        <v>1162</v>
      </c>
      <c r="D253" s="234">
        <f t="shared" si="101"/>
        <v>450</v>
      </c>
      <c r="E253" s="235">
        <f t="shared" si="102"/>
        <v>735</v>
      </c>
      <c r="F253" s="236">
        <f t="shared" si="103"/>
        <v>450</v>
      </c>
      <c r="O253" s="41"/>
      <c r="P253" s="45"/>
      <c r="R253" s="45"/>
      <c r="T253" s="45"/>
      <c r="V253" s="45"/>
    </row>
    <row r="254">
      <c r="A254" s="32"/>
      <c r="B254" s="238" t="s">
        <v>18</v>
      </c>
      <c r="C254" s="233">
        <f t="shared" si="100"/>
        <v>1157.044</v>
      </c>
      <c r="D254" s="234">
        <f t="shared" si="101"/>
        <v>450.208</v>
      </c>
      <c r="E254" s="235">
        <f t="shared" si="102"/>
        <v>737.5002</v>
      </c>
      <c r="F254" s="236">
        <f t="shared" si="103"/>
        <v>450.208</v>
      </c>
      <c r="O254" s="41"/>
      <c r="P254" s="45"/>
      <c r="R254" s="45"/>
      <c r="T254" s="45"/>
      <c r="V254" s="45"/>
    </row>
    <row r="255">
      <c r="A255" s="25" t="s">
        <v>21</v>
      </c>
      <c r="B255" s="213" t="s">
        <v>17</v>
      </c>
      <c r="C255" s="29">
        <f t="shared" si="100"/>
        <v>2228</v>
      </c>
      <c r="D255" s="188">
        <f t="shared" si="101"/>
        <v>830</v>
      </c>
      <c r="E255" s="30">
        <f t="shared" si="102"/>
        <v>1292</v>
      </c>
      <c r="F255" s="237">
        <f t="shared" si="103"/>
        <v>830</v>
      </c>
      <c r="O255" s="41"/>
      <c r="P255" s="45"/>
      <c r="R255" s="45"/>
      <c r="T255" s="45"/>
      <c r="V255" s="45"/>
    </row>
    <row r="256">
      <c r="A256" s="32"/>
      <c r="B256" s="216" t="s">
        <v>18</v>
      </c>
      <c r="C256" s="29">
        <f t="shared" si="100"/>
        <v>2233.483</v>
      </c>
      <c r="D256" s="188">
        <f t="shared" si="101"/>
        <v>829.8356</v>
      </c>
      <c r="E256" s="30">
        <f t="shared" si="102"/>
        <v>1302.12</v>
      </c>
      <c r="F256" s="237">
        <f t="shared" si="103"/>
        <v>829.8356</v>
      </c>
      <c r="O256" s="41"/>
      <c r="P256" s="45"/>
      <c r="R256" s="45"/>
      <c r="T256" s="45"/>
      <c r="V256" s="45"/>
    </row>
    <row r="257">
      <c r="A257" s="226" t="s">
        <v>22</v>
      </c>
      <c r="B257" s="227" t="s">
        <v>17</v>
      </c>
      <c r="C257" s="233">
        <f t="shared" si="100"/>
        <v>5181</v>
      </c>
      <c r="D257" s="235">
        <f t="shared" si="101"/>
        <v>3484</v>
      </c>
      <c r="E257" s="234">
        <f t="shared" si="102"/>
        <v>2248</v>
      </c>
      <c r="F257" s="236">
        <f t="shared" si="103"/>
        <v>2248</v>
      </c>
      <c r="O257" s="41"/>
      <c r="P257" s="45"/>
      <c r="R257" s="45"/>
      <c r="T257" s="45"/>
      <c r="V257" s="45"/>
    </row>
    <row r="258">
      <c r="A258" s="32"/>
      <c r="B258" s="239" t="s">
        <v>18</v>
      </c>
      <c r="C258" s="240">
        <f t="shared" si="100"/>
        <v>5194.429</v>
      </c>
      <c r="D258" s="241">
        <f t="shared" si="101"/>
        <v>3486.738</v>
      </c>
      <c r="E258" s="242">
        <f t="shared" si="102"/>
        <v>2262.799</v>
      </c>
      <c r="F258" s="243">
        <f t="shared" si="103"/>
        <v>2262.799</v>
      </c>
      <c r="O258" s="41"/>
      <c r="P258" s="45"/>
      <c r="R258" s="45"/>
      <c r="T258" s="45"/>
      <c r="V258" s="45"/>
    </row>
    <row r="259">
      <c r="O259" s="41"/>
      <c r="P259" s="45"/>
      <c r="R259" s="45"/>
      <c r="T259" s="45"/>
      <c r="V259" s="45"/>
    </row>
    <row r="260">
      <c r="O260" s="41"/>
      <c r="P260" s="45"/>
      <c r="R260" s="45"/>
      <c r="T260" s="45"/>
      <c r="V260" s="45"/>
    </row>
    <row r="261">
      <c r="O261" s="41"/>
      <c r="P261" s="45"/>
      <c r="R261" s="45"/>
      <c r="T261" s="45"/>
      <c r="V261" s="45"/>
    </row>
    <row r="262">
      <c r="O262" s="41"/>
      <c r="P262" s="45"/>
      <c r="R262" s="45"/>
      <c r="T262" s="45"/>
      <c r="V262" s="45"/>
    </row>
    <row r="263">
      <c r="O263" s="41"/>
      <c r="P263" s="45"/>
      <c r="R263" s="45"/>
      <c r="T263" s="45"/>
      <c r="V263" s="45"/>
    </row>
    <row r="264">
      <c r="O264" s="41"/>
      <c r="P264" s="45"/>
      <c r="R264" s="45"/>
      <c r="T264" s="45"/>
      <c r="V264" s="45"/>
    </row>
    <row r="265">
      <c r="O265" s="41"/>
      <c r="P265" s="45"/>
      <c r="R265" s="45"/>
      <c r="T265" s="45"/>
      <c r="V265" s="45"/>
    </row>
    <row r="266">
      <c r="O266" s="41"/>
      <c r="P266" s="45"/>
      <c r="R266" s="45"/>
      <c r="T266" s="45"/>
      <c r="V266" s="45"/>
    </row>
    <row r="267">
      <c r="O267" s="41"/>
      <c r="P267" s="45"/>
      <c r="R267" s="45"/>
      <c r="T267" s="45"/>
      <c r="V267" s="45"/>
    </row>
    <row r="268">
      <c r="O268" s="41"/>
      <c r="P268" s="45"/>
      <c r="R268" s="45"/>
      <c r="T268" s="45"/>
      <c r="V268" s="45"/>
    </row>
    <row r="269">
      <c r="O269" s="41"/>
      <c r="P269" s="45"/>
      <c r="R269" s="45"/>
      <c r="T269" s="45"/>
      <c r="V269" s="45"/>
    </row>
    <row r="270">
      <c r="O270" s="41"/>
      <c r="P270" s="45"/>
      <c r="R270" s="45"/>
      <c r="T270" s="45"/>
      <c r="V270" s="45"/>
    </row>
    <row r="271">
      <c r="O271" s="41"/>
      <c r="P271" s="45"/>
      <c r="R271" s="45"/>
      <c r="T271" s="45"/>
      <c r="V271" s="45"/>
    </row>
    <row r="272">
      <c r="O272" s="41"/>
      <c r="P272" s="45"/>
      <c r="R272" s="45"/>
      <c r="T272" s="45"/>
      <c r="V272" s="45"/>
    </row>
    <row r="273">
      <c r="O273" s="41"/>
      <c r="P273" s="45"/>
      <c r="R273" s="45"/>
      <c r="T273" s="45"/>
      <c r="V273" s="45"/>
    </row>
    <row r="274">
      <c r="O274" s="41"/>
      <c r="P274" s="45"/>
      <c r="R274" s="45"/>
      <c r="T274" s="45"/>
      <c r="V274" s="45"/>
    </row>
    <row r="275">
      <c r="O275" s="41"/>
      <c r="P275" s="45"/>
      <c r="R275" s="45"/>
      <c r="T275" s="45"/>
      <c r="V275" s="45"/>
    </row>
    <row r="276">
      <c r="O276" s="41"/>
      <c r="P276" s="45"/>
      <c r="R276" s="45"/>
      <c r="T276" s="45"/>
      <c r="V276" s="45"/>
    </row>
    <row r="277">
      <c r="O277" s="41"/>
      <c r="P277" s="45"/>
      <c r="R277" s="45"/>
      <c r="T277" s="45"/>
      <c r="V277" s="45"/>
    </row>
    <row r="278">
      <c r="O278" s="41"/>
      <c r="P278" s="45"/>
      <c r="R278" s="45"/>
      <c r="T278" s="45"/>
      <c r="V278" s="45"/>
    </row>
    <row r="279">
      <c r="O279" s="41"/>
      <c r="P279" s="45"/>
      <c r="R279" s="45"/>
      <c r="T279" s="45"/>
      <c r="V279" s="45"/>
    </row>
    <row r="280">
      <c r="O280" s="41"/>
      <c r="P280" s="45"/>
      <c r="R280" s="45"/>
      <c r="T280" s="45"/>
      <c r="V280" s="45"/>
    </row>
    <row r="281">
      <c r="O281" s="41"/>
      <c r="P281" s="45"/>
      <c r="R281" s="45"/>
      <c r="T281" s="45"/>
      <c r="V281" s="45"/>
    </row>
    <row r="282">
      <c r="O282" s="41"/>
      <c r="P282" s="45"/>
      <c r="R282" s="45"/>
      <c r="T282" s="45"/>
      <c r="V282" s="45"/>
    </row>
    <row r="283">
      <c r="O283" s="41"/>
      <c r="P283" s="45"/>
      <c r="R283" s="45"/>
      <c r="T283" s="45"/>
      <c r="V283" s="45"/>
    </row>
    <row r="284">
      <c r="O284" s="41"/>
      <c r="P284" s="45"/>
      <c r="R284" s="45"/>
      <c r="T284" s="45"/>
      <c r="V284" s="45"/>
    </row>
    <row r="285">
      <c r="O285" s="41"/>
      <c r="P285" s="45"/>
      <c r="R285" s="45"/>
      <c r="T285" s="45"/>
      <c r="V285" s="45"/>
    </row>
    <row r="286">
      <c r="O286" s="41"/>
      <c r="P286" s="45"/>
      <c r="R286" s="45"/>
      <c r="T286" s="45"/>
      <c r="V286" s="45"/>
    </row>
    <row r="287">
      <c r="O287" s="41"/>
      <c r="P287" s="45"/>
      <c r="R287" s="45"/>
      <c r="T287" s="45"/>
      <c r="V287" s="45"/>
    </row>
    <row r="288">
      <c r="O288" s="41"/>
      <c r="P288" s="45"/>
      <c r="R288" s="45"/>
      <c r="T288" s="45"/>
      <c r="V288" s="45"/>
    </row>
    <row r="289">
      <c r="O289" s="41"/>
      <c r="P289" s="45"/>
      <c r="R289" s="45"/>
      <c r="T289" s="45"/>
      <c r="V289" s="45"/>
    </row>
    <row r="290">
      <c r="O290" s="41"/>
      <c r="P290" s="45"/>
      <c r="R290" s="45"/>
      <c r="T290" s="45"/>
      <c r="V290" s="45"/>
    </row>
    <row r="291">
      <c r="O291" s="41"/>
      <c r="P291" s="45"/>
      <c r="R291" s="45"/>
      <c r="T291" s="45"/>
      <c r="V291" s="45"/>
    </row>
    <row r="292">
      <c r="O292" s="41"/>
      <c r="P292" s="45"/>
      <c r="R292" s="45"/>
      <c r="T292" s="45"/>
      <c r="V292" s="45"/>
    </row>
    <row r="293">
      <c r="O293" s="41"/>
      <c r="P293" s="45"/>
      <c r="R293" s="45"/>
      <c r="T293" s="45"/>
      <c r="V293" s="45"/>
    </row>
    <row r="294">
      <c r="O294" s="41"/>
      <c r="P294" s="45"/>
      <c r="R294" s="45"/>
      <c r="T294" s="45"/>
      <c r="V294" s="45"/>
    </row>
    <row r="295">
      <c r="O295" s="41"/>
      <c r="P295" s="45"/>
      <c r="R295" s="45"/>
      <c r="T295" s="45"/>
      <c r="V295" s="45"/>
    </row>
    <row r="296">
      <c r="O296" s="41"/>
      <c r="P296" s="45"/>
      <c r="R296" s="45"/>
      <c r="T296" s="45"/>
      <c r="V296" s="45"/>
    </row>
    <row r="297">
      <c r="O297" s="41"/>
      <c r="P297" s="45"/>
      <c r="R297" s="45"/>
      <c r="T297" s="45"/>
      <c r="V297" s="45"/>
    </row>
    <row r="298">
      <c r="O298" s="41"/>
      <c r="P298" s="45"/>
      <c r="R298" s="45"/>
      <c r="T298" s="45"/>
      <c r="V298" s="45"/>
    </row>
    <row r="299">
      <c r="O299" s="41"/>
      <c r="P299" s="45"/>
      <c r="R299" s="45"/>
      <c r="T299" s="45"/>
      <c r="V299" s="45"/>
    </row>
    <row r="300">
      <c r="O300" s="41"/>
      <c r="P300" s="45"/>
      <c r="R300" s="45"/>
      <c r="T300" s="45"/>
      <c r="V300" s="45"/>
    </row>
    <row r="301">
      <c r="O301" s="41"/>
      <c r="P301" s="45"/>
      <c r="R301" s="45"/>
      <c r="T301" s="45"/>
      <c r="V301" s="45"/>
    </row>
    <row r="302">
      <c r="O302" s="41"/>
      <c r="P302" s="45"/>
      <c r="R302" s="45"/>
      <c r="T302" s="45"/>
      <c r="V302" s="45"/>
    </row>
    <row r="303">
      <c r="O303" s="41"/>
      <c r="P303" s="45"/>
      <c r="R303" s="45"/>
      <c r="T303" s="45"/>
      <c r="V303" s="45"/>
    </row>
    <row r="304">
      <c r="O304" s="41"/>
      <c r="P304" s="45"/>
      <c r="R304" s="45"/>
      <c r="T304" s="45"/>
      <c r="V304" s="45"/>
    </row>
    <row r="305">
      <c r="O305" s="41"/>
      <c r="P305" s="45"/>
      <c r="R305" s="45"/>
      <c r="T305" s="45"/>
      <c r="V305" s="45"/>
    </row>
    <row r="306">
      <c r="O306" s="41"/>
      <c r="P306" s="45"/>
      <c r="R306" s="45"/>
      <c r="T306" s="45"/>
      <c r="V306" s="45"/>
    </row>
    <row r="307">
      <c r="O307" s="41"/>
      <c r="P307" s="45"/>
      <c r="R307" s="45"/>
      <c r="T307" s="45"/>
      <c r="V307" s="45"/>
    </row>
    <row r="308">
      <c r="O308" s="41"/>
      <c r="P308" s="45"/>
      <c r="R308" s="45"/>
      <c r="T308" s="45"/>
      <c r="V308" s="45"/>
    </row>
    <row r="309">
      <c r="O309" s="41"/>
      <c r="P309" s="45"/>
      <c r="R309" s="45"/>
      <c r="T309" s="45"/>
      <c r="V309" s="45"/>
    </row>
    <row r="310">
      <c r="O310" s="41"/>
      <c r="P310" s="45"/>
      <c r="R310" s="45"/>
      <c r="T310" s="45"/>
      <c r="V310" s="45"/>
    </row>
    <row r="311">
      <c r="O311" s="41"/>
      <c r="P311" s="45"/>
      <c r="R311" s="45"/>
      <c r="T311" s="45"/>
      <c r="V311" s="45"/>
    </row>
    <row r="312">
      <c r="O312" s="41"/>
      <c r="P312" s="45"/>
      <c r="R312" s="45"/>
      <c r="T312" s="45"/>
      <c r="V312" s="45"/>
    </row>
    <row r="313">
      <c r="O313" s="41"/>
      <c r="P313" s="45"/>
      <c r="R313" s="45"/>
      <c r="T313" s="45"/>
      <c r="V313" s="45"/>
    </row>
    <row r="314">
      <c r="O314" s="41"/>
      <c r="P314" s="45"/>
      <c r="R314" s="45"/>
      <c r="T314" s="45"/>
      <c r="V314" s="45"/>
    </row>
    <row r="315">
      <c r="O315" s="41"/>
      <c r="P315" s="45"/>
      <c r="R315" s="45"/>
      <c r="T315" s="45"/>
      <c r="V315" s="45"/>
    </row>
    <row r="316">
      <c r="O316" s="41"/>
      <c r="P316" s="45"/>
      <c r="R316" s="45"/>
      <c r="T316" s="45"/>
      <c r="V316" s="45"/>
    </row>
    <row r="317">
      <c r="O317" s="41"/>
      <c r="P317" s="45"/>
      <c r="R317" s="45"/>
      <c r="T317" s="45"/>
      <c r="V317" s="45"/>
    </row>
    <row r="318">
      <c r="O318" s="41"/>
      <c r="P318" s="45"/>
      <c r="R318" s="45"/>
      <c r="T318" s="45"/>
      <c r="V318" s="45"/>
    </row>
    <row r="319">
      <c r="O319" s="41"/>
      <c r="P319" s="45"/>
      <c r="R319" s="45"/>
      <c r="T319" s="45"/>
      <c r="V319" s="45"/>
    </row>
    <row r="320">
      <c r="O320" s="41"/>
      <c r="P320" s="45"/>
      <c r="R320" s="45"/>
      <c r="T320" s="45"/>
      <c r="V320" s="45"/>
    </row>
    <row r="321">
      <c r="O321" s="41"/>
      <c r="P321" s="45"/>
      <c r="R321" s="45"/>
      <c r="T321" s="45"/>
      <c r="V321" s="45"/>
    </row>
    <row r="322">
      <c r="O322" s="41"/>
      <c r="P322" s="45"/>
      <c r="R322" s="45"/>
      <c r="T322" s="45"/>
      <c r="V322" s="45"/>
    </row>
    <row r="323">
      <c r="O323" s="41"/>
      <c r="P323" s="45"/>
      <c r="R323" s="45"/>
      <c r="T323" s="45"/>
      <c r="V323" s="45"/>
    </row>
    <row r="324">
      <c r="O324" s="41"/>
      <c r="P324" s="45"/>
      <c r="R324" s="45"/>
      <c r="T324" s="45"/>
      <c r="V324" s="45"/>
    </row>
    <row r="325">
      <c r="O325" s="41"/>
      <c r="P325" s="45"/>
      <c r="R325" s="45"/>
      <c r="T325" s="45"/>
      <c r="V325" s="45"/>
    </row>
    <row r="326">
      <c r="O326" s="41"/>
      <c r="P326" s="45"/>
      <c r="R326" s="45"/>
      <c r="T326" s="45"/>
      <c r="V326" s="45"/>
    </row>
    <row r="327">
      <c r="O327" s="41"/>
      <c r="P327" s="45"/>
      <c r="R327" s="45"/>
      <c r="T327" s="45"/>
      <c r="V327" s="45"/>
    </row>
    <row r="328">
      <c r="O328" s="41"/>
      <c r="P328" s="45"/>
      <c r="R328" s="45"/>
      <c r="T328" s="45"/>
      <c r="V328" s="45"/>
    </row>
    <row r="329">
      <c r="O329" s="41"/>
      <c r="P329" s="45"/>
      <c r="R329" s="45"/>
      <c r="T329" s="45"/>
      <c r="V329" s="45"/>
    </row>
    <row r="330">
      <c r="O330" s="41"/>
      <c r="P330" s="45"/>
      <c r="R330" s="45"/>
      <c r="T330" s="45"/>
      <c r="V330" s="45"/>
    </row>
    <row r="331">
      <c r="O331" s="41"/>
      <c r="P331" s="45"/>
      <c r="R331" s="45"/>
      <c r="T331" s="45"/>
      <c r="V331" s="45"/>
    </row>
    <row r="332">
      <c r="O332" s="41"/>
      <c r="P332" s="45"/>
      <c r="R332" s="45"/>
      <c r="T332" s="45"/>
      <c r="V332" s="45"/>
    </row>
    <row r="333">
      <c r="O333" s="41"/>
      <c r="P333" s="45"/>
      <c r="R333" s="45"/>
      <c r="T333" s="45"/>
      <c r="V333" s="45"/>
    </row>
    <row r="334">
      <c r="O334" s="41"/>
      <c r="P334" s="45"/>
      <c r="R334" s="45"/>
      <c r="T334" s="45"/>
      <c r="V334" s="45"/>
    </row>
    <row r="335">
      <c r="O335" s="41"/>
      <c r="P335" s="45"/>
      <c r="R335" s="45"/>
      <c r="T335" s="45"/>
      <c r="V335" s="45"/>
    </row>
    <row r="336">
      <c r="O336" s="41"/>
      <c r="P336" s="45"/>
      <c r="R336" s="45"/>
      <c r="T336" s="45"/>
      <c r="V336" s="45"/>
    </row>
    <row r="337">
      <c r="O337" s="41"/>
      <c r="P337" s="45"/>
      <c r="R337" s="45"/>
      <c r="T337" s="45"/>
      <c r="V337" s="45"/>
    </row>
    <row r="338">
      <c r="O338" s="41"/>
      <c r="P338" s="45"/>
      <c r="R338" s="45"/>
      <c r="T338" s="45"/>
      <c r="V338" s="45"/>
    </row>
    <row r="339">
      <c r="O339" s="41"/>
      <c r="P339" s="45"/>
      <c r="R339" s="45"/>
      <c r="T339" s="45"/>
      <c r="V339" s="45"/>
    </row>
    <row r="340">
      <c r="O340" s="41"/>
      <c r="P340" s="45"/>
      <c r="R340" s="45"/>
      <c r="T340" s="45"/>
      <c r="V340" s="45"/>
    </row>
    <row r="341">
      <c r="O341" s="41"/>
      <c r="P341" s="45"/>
      <c r="R341" s="45"/>
      <c r="T341" s="45"/>
      <c r="V341" s="45"/>
    </row>
    <row r="342">
      <c r="O342" s="41"/>
      <c r="P342" s="45"/>
      <c r="R342" s="45"/>
      <c r="T342" s="45"/>
      <c r="V342" s="45"/>
    </row>
    <row r="343">
      <c r="O343" s="41"/>
      <c r="P343" s="45"/>
      <c r="R343" s="45"/>
      <c r="T343" s="45"/>
      <c r="V343" s="45"/>
    </row>
    <row r="344">
      <c r="O344" s="41"/>
      <c r="P344" s="45"/>
      <c r="R344" s="45"/>
      <c r="T344" s="45"/>
      <c r="V344" s="45"/>
    </row>
    <row r="345">
      <c r="O345" s="41"/>
      <c r="P345" s="45"/>
      <c r="R345" s="45"/>
      <c r="T345" s="45"/>
      <c r="V345" s="45"/>
    </row>
    <row r="346">
      <c r="O346" s="41"/>
      <c r="P346" s="45"/>
      <c r="R346" s="45"/>
      <c r="T346" s="45"/>
      <c r="V346" s="45"/>
    </row>
    <row r="347">
      <c r="O347" s="41"/>
      <c r="P347" s="45"/>
      <c r="R347" s="45"/>
      <c r="T347" s="45"/>
      <c r="V347" s="45"/>
    </row>
    <row r="348">
      <c r="O348" s="41"/>
      <c r="P348" s="45"/>
      <c r="R348" s="45"/>
      <c r="T348" s="45"/>
      <c r="V348" s="45"/>
    </row>
    <row r="349">
      <c r="O349" s="41"/>
      <c r="P349" s="45"/>
      <c r="R349" s="45"/>
      <c r="T349" s="45"/>
      <c r="V349" s="45"/>
    </row>
    <row r="350">
      <c r="O350" s="41"/>
      <c r="P350" s="45"/>
      <c r="R350" s="45"/>
      <c r="T350" s="45"/>
      <c r="V350" s="45"/>
    </row>
    <row r="351">
      <c r="O351" s="41"/>
      <c r="P351" s="45"/>
      <c r="R351" s="45"/>
      <c r="T351" s="45"/>
      <c r="V351" s="45"/>
    </row>
    <row r="352">
      <c r="O352" s="41"/>
      <c r="P352" s="45"/>
      <c r="R352" s="45"/>
      <c r="T352" s="45"/>
      <c r="V352" s="45"/>
    </row>
    <row r="353">
      <c r="O353" s="41"/>
      <c r="P353" s="45"/>
      <c r="R353" s="45"/>
      <c r="T353" s="45"/>
      <c r="V353" s="45"/>
    </row>
    <row r="354">
      <c r="O354" s="41"/>
      <c r="P354" s="45"/>
      <c r="R354" s="45"/>
      <c r="T354" s="45"/>
      <c r="V354" s="45"/>
    </row>
    <row r="355">
      <c r="O355" s="41"/>
      <c r="P355" s="45"/>
      <c r="R355" s="45"/>
      <c r="T355" s="45"/>
      <c r="V355" s="45"/>
    </row>
    <row r="356">
      <c r="O356" s="41"/>
      <c r="P356" s="45"/>
      <c r="R356" s="45"/>
      <c r="T356" s="45"/>
      <c r="V356" s="45"/>
    </row>
    <row r="357">
      <c r="O357" s="41"/>
      <c r="P357" s="45"/>
      <c r="R357" s="45"/>
      <c r="T357" s="45"/>
      <c r="V357" s="45"/>
    </row>
    <row r="358">
      <c r="O358" s="41"/>
      <c r="P358" s="45"/>
      <c r="R358" s="45"/>
      <c r="T358" s="45"/>
      <c r="V358" s="45"/>
    </row>
    <row r="359">
      <c r="O359" s="41"/>
      <c r="P359" s="45"/>
      <c r="R359" s="45"/>
      <c r="T359" s="45"/>
      <c r="V359" s="45"/>
    </row>
    <row r="360">
      <c r="O360" s="41"/>
      <c r="P360" s="45"/>
      <c r="R360" s="45"/>
      <c r="T360" s="45"/>
      <c r="V360" s="45"/>
    </row>
    <row r="361">
      <c r="O361" s="41"/>
      <c r="P361" s="45"/>
      <c r="R361" s="45"/>
      <c r="T361" s="45"/>
      <c r="V361" s="45"/>
    </row>
    <row r="362">
      <c r="O362" s="41"/>
      <c r="P362" s="45"/>
      <c r="R362" s="45"/>
      <c r="T362" s="45"/>
      <c r="V362" s="45"/>
    </row>
    <row r="363">
      <c r="O363" s="41"/>
      <c r="P363" s="45"/>
      <c r="R363" s="45"/>
      <c r="T363" s="45"/>
      <c r="V363" s="45"/>
    </row>
    <row r="364">
      <c r="O364" s="41"/>
      <c r="P364" s="45"/>
      <c r="R364" s="45"/>
      <c r="T364" s="45"/>
      <c r="V364" s="45"/>
    </row>
    <row r="365">
      <c r="O365" s="41"/>
      <c r="P365" s="45"/>
      <c r="R365" s="45"/>
      <c r="T365" s="45"/>
      <c r="V365" s="45"/>
    </row>
    <row r="366">
      <c r="O366" s="41"/>
      <c r="P366" s="45"/>
      <c r="R366" s="45"/>
      <c r="T366" s="45"/>
      <c r="V366" s="45"/>
    </row>
    <row r="367">
      <c r="O367" s="41"/>
      <c r="P367" s="45"/>
      <c r="R367" s="45"/>
      <c r="T367" s="45"/>
      <c r="V367" s="45"/>
    </row>
    <row r="368">
      <c r="O368" s="41"/>
      <c r="P368" s="45"/>
      <c r="R368" s="45"/>
      <c r="T368" s="45"/>
      <c r="V368" s="45"/>
    </row>
    <row r="369">
      <c r="O369" s="41"/>
      <c r="P369" s="45"/>
      <c r="R369" s="45"/>
      <c r="T369" s="45"/>
      <c r="V369" s="45"/>
    </row>
    <row r="370">
      <c r="O370" s="41"/>
      <c r="P370" s="45"/>
      <c r="R370" s="45"/>
      <c r="T370" s="45"/>
      <c r="V370" s="45"/>
    </row>
    <row r="371">
      <c r="O371" s="41"/>
      <c r="P371" s="45"/>
      <c r="R371" s="45"/>
      <c r="T371" s="45"/>
      <c r="V371" s="45"/>
    </row>
    <row r="372">
      <c r="O372" s="41"/>
      <c r="P372" s="45"/>
      <c r="R372" s="45"/>
      <c r="T372" s="45"/>
      <c r="V372" s="45"/>
    </row>
    <row r="373">
      <c r="O373" s="41"/>
      <c r="P373" s="45"/>
      <c r="R373" s="45"/>
      <c r="T373" s="45"/>
      <c r="V373" s="45"/>
    </row>
    <row r="374">
      <c r="O374" s="41"/>
      <c r="P374" s="45"/>
      <c r="R374" s="45"/>
      <c r="T374" s="45"/>
      <c r="V374" s="45"/>
    </row>
    <row r="375">
      <c r="O375" s="41"/>
      <c r="P375" s="45"/>
      <c r="R375" s="45"/>
      <c r="T375" s="45"/>
      <c r="V375" s="45"/>
    </row>
    <row r="376">
      <c r="O376" s="41"/>
      <c r="P376" s="45"/>
      <c r="R376" s="45"/>
      <c r="T376" s="45"/>
      <c r="V376" s="45"/>
    </row>
    <row r="377">
      <c r="O377" s="41"/>
      <c r="P377" s="45"/>
      <c r="R377" s="45"/>
      <c r="T377" s="45"/>
      <c r="V377" s="45"/>
    </row>
    <row r="378">
      <c r="O378" s="41"/>
      <c r="P378" s="45"/>
      <c r="R378" s="45"/>
      <c r="T378" s="45"/>
      <c r="V378" s="45"/>
    </row>
    <row r="379">
      <c r="O379" s="41"/>
      <c r="P379" s="45"/>
      <c r="R379" s="45"/>
      <c r="T379" s="45"/>
      <c r="V379" s="45"/>
    </row>
    <row r="380">
      <c r="O380" s="41"/>
      <c r="P380" s="45"/>
      <c r="R380" s="45"/>
      <c r="T380" s="45"/>
      <c r="V380" s="45"/>
    </row>
    <row r="381">
      <c r="O381" s="41"/>
      <c r="P381" s="45"/>
      <c r="R381" s="45"/>
      <c r="T381" s="45"/>
      <c r="V381" s="45"/>
    </row>
    <row r="382">
      <c r="O382" s="41"/>
      <c r="P382" s="45"/>
      <c r="R382" s="45"/>
      <c r="T382" s="45"/>
      <c r="V382" s="45"/>
    </row>
    <row r="383">
      <c r="O383" s="41"/>
      <c r="P383" s="45"/>
      <c r="R383" s="45"/>
      <c r="T383" s="45"/>
      <c r="V383" s="45"/>
    </row>
    <row r="384">
      <c r="O384" s="41"/>
      <c r="P384" s="45"/>
      <c r="R384" s="45"/>
      <c r="T384" s="45"/>
      <c r="V384" s="45"/>
    </row>
    <row r="385">
      <c r="O385" s="41"/>
      <c r="P385" s="45"/>
      <c r="R385" s="45"/>
      <c r="T385" s="45"/>
      <c r="V385" s="45"/>
    </row>
    <row r="386">
      <c r="O386" s="41"/>
      <c r="P386" s="45"/>
      <c r="R386" s="45"/>
      <c r="T386" s="45"/>
      <c r="V386" s="45"/>
    </row>
    <row r="387">
      <c r="O387" s="41"/>
      <c r="P387" s="45"/>
      <c r="R387" s="45"/>
      <c r="T387" s="45"/>
      <c r="V387" s="45"/>
    </row>
    <row r="388">
      <c r="O388" s="41"/>
      <c r="P388" s="45"/>
      <c r="R388" s="45"/>
      <c r="T388" s="45"/>
      <c r="V388" s="45"/>
    </row>
    <row r="389">
      <c r="O389" s="41"/>
      <c r="P389" s="45"/>
      <c r="R389" s="45"/>
      <c r="T389" s="45"/>
      <c r="V389" s="45"/>
    </row>
    <row r="390">
      <c r="O390" s="41"/>
      <c r="P390" s="45"/>
      <c r="R390" s="45"/>
      <c r="T390" s="45"/>
      <c r="V390" s="45"/>
    </row>
    <row r="391">
      <c r="O391" s="41"/>
      <c r="P391" s="45"/>
      <c r="R391" s="45"/>
      <c r="T391" s="45"/>
      <c r="V391" s="45"/>
    </row>
    <row r="392">
      <c r="O392" s="41"/>
      <c r="P392" s="45"/>
      <c r="R392" s="45"/>
      <c r="T392" s="45"/>
      <c r="V392" s="45"/>
    </row>
    <row r="393">
      <c r="O393" s="41"/>
      <c r="P393" s="45"/>
      <c r="R393" s="45"/>
      <c r="T393" s="45"/>
      <c r="V393" s="45"/>
    </row>
    <row r="394">
      <c r="O394" s="41"/>
      <c r="P394" s="45"/>
      <c r="R394" s="45"/>
      <c r="T394" s="45"/>
      <c r="V394" s="45"/>
    </row>
    <row r="395">
      <c r="O395" s="41"/>
      <c r="P395" s="45"/>
      <c r="R395" s="45"/>
      <c r="T395" s="45"/>
      <c r="V395" s="45"/>
    </row>
    <row r="396">
      <c r="O396" s="41"/>
      <c r="P396" s="45"/>
      <c r="R396" s="45"/>
      <c r="T396" s="45"/>
      <c r="V396" s="45"/>
    </row>
    <row r="397">
      <c r="O397" s="41"/>
      <c r="P397" s="45"/>
      <c r="R397" s="45"/>
      <c r="T397" s="45"/>
      <c r="V397" s="45"/>
    </row>
    <row r="398">
      <c r="O398" s="41"/>
      <c r="P398" s="45"/>
      <c r="R398" s="45"/>
      <c r="T398" s="45"/>
      <c r="V398" s="45"/>
    </row>
    <row r="399">
      <c r="O399" s="41"/>
      <c r="P399" s="45"/>
      <c r="R399" s="45"/>
      <c r="T399" s="45"/>
      <c r="V399" s="45"/>
    </row>
    <row r="400">
      <c r="O400" s="41"/>
      <c r="P400" s="45"/>
      <c r="R400" s="45"/>
      <c r="T400" s="45"/>
      <c r="V400" s="45"/>
    </row>
    <row r="401">
      <c r="O401" s="41"/>
      <c r="P401" s="45"/>
      <c r="R401" s="45"/>
      <c r="T401" s="45"/>
      <c r="V401" s="45"/>
    </row>
    <row r="402">
      <c r="O402" s="41"/>
      <c r="P402" s="45"/>
      <c r="R402" s="45"/>
      <c r="T402" s="45"/>
      <c r="V402" s="45"/>
    </row>
    <row r="403">
      <c r="O403" s="41"/>
      <c r="P403" s="45"/>
      <c r="R403" s="45"/>
      <c r="T403" s="45"/>
      <c r="V403" s="45"/>
    </row>
    <row r="404">
      <c r="O404" s="41"/>
      <c r="P404" s="45"/>
      <c r="R404" s="45"/>
      <c r="T404" s="45"/>
      <c r="V404" s="45"/>
    </row>
    <row r="405">
      <c r="O405" s="41"/>
      <c r="P405" s="45"/>
      <c r="R405" s="45"/>
      <c r="T405" s="45"/>
      <c r="V405" s="45"/>
    </row>
    <row r="406">
      <c r="O406" s="41"/>
      <c r="P406" s="45"/>
      <c r="R406" s="45"/>
      <c r="T406" s="45"/>
      <c r="V406" s="45"/>
    </row>
    <row r="407">
      <c r="O407" s="41"/>
      <c r="P407" s="45"/>
      <c r="R407" s="45"/>
      <c r="T407" s="45"/>
      <c r="V407" s="45"/>
    </row>
    <row r="408">
      <c r="O408" s="41"/>
      <c r="P408" s="45"/>
      <c r="R408" s="45"/>
      <c r="T408" s="45"/>
      <c r="V408" s="45"/>
    </row>
    <row r="409">
      <c r="O409" s="41"/>
      <c r="P409" s="45"/>
      <c r="R409" s="45"/>
      <c r="T409" s="45"/>
      <c r="V409" s="45"/>
    </row>
    <row r="410">
      <c r="O410" s="41"/>
      <c r="P410" s="45"/>
      <c r="R410" s="45"/>
      <c r="T410" s="45"/>
      <c r="V410" s="45"/>
    </row>
    <row r="411">
      <c r="O411" s="41"/>
      <c r="P411" s="45"/>
      <c r="R411" s="45"/>
      <c r="T411" s="45"/>
      <c r="V411" s="45"/>
    </row>
    <row r="412">
      <c r="O412" s="41"/>
      <c r="P412" s="45"/>
      <c r="R412" s="45"/>
      <c r="T412" s="45"/>
      <c r="V412" s="45"/>
    </row>
    <row r="413">
      <c r="O413" s="41"/>
      <c r="P413" s="45"/>
      <c r="R413" s="45"/>
      <c r="T413" s="45"/>
      <c r="V413" s="45"/>
    </row>
    <row r="414">
      <c r="O414" s="41"/>
      <c r="P414" s="45"/>
      <c r="R414" s="45"/>
      <c r="T414" s="45"/>
      <c r="V414" s="45"/>
    </row>
    <row r="415">
      <c r="O415" s="41"/>
      <c r="P415" s="45"/>
      <c r="R415" s="45"/>
      <c r="T415" s="45"/>
      <c r="V415" s="45"/>
    </row>
    <row r="416">
      <c r="O416" s="41"/>
      <c r="P416" s="45"/>
      <c r="R416" s="45"/>
      <c r="T416" s="45"/>
      <c r="V416" s="45"/>
    </row>
    <row r="417">
      <c r="O417" s="41"/>
      <c r="P417" s="45"/>
      <c r="R417" s="45"/>
      <c r="T417" s="45"/>
      <c r="V417" s="45"/>
    </row>
    <row r="418">
      <c r="O418" s="41"/>
      <c r="P418" s="45"/>
      <c r="R418" s="45"/>
      <c r="T418" s="45"/>
      <c r="V418" s="45"/>
    </row>
    <row r="419">
      <c r="O419" s="41"/>
      <c r="P419" s="45"/>
      <c r="R419" s="45"/>
      <c r="T419" s="45"/>
      <c r="V419" s="45"/>
    </row>
    <row r="420">
      <c r="O420" s="41"/>
      <c r="P420" s="45"/>
      <c r="R420" s="45"/>
      <c r="T420" s="45"/>
      <c r="V420" s="45"/>
    </row>
    <row r="421">
      <c r="O421" s="41"/>
      <c r="P421" s="45"/>
      <c r="R421" s="45"/>
      <c r="T421" s="45"/>
      <c r="V421" s="45"/>
    </row>
    <row r="422">
      <c r="O422" s="41"/>
      <c r="P422" s="45"/>
      <c r="R422" s="45"/>
      <c r="T422" s="45"/>
      <c r="V422" s="45"/>
    </row>
    <row r="423">
      <c r="O423" s="41"/>
      <c r="P423" s="45"/>
      <c r="R423" s="45"/>
      <c r="T423" s="45"/>
      <c r="V423" s="45"/>
    </row>
    <row r="424">
      <c r="O424" s="41"/>
      <c r="P424" s="45"/>
      <c r="R424" s="45"/>
      <c r="T424" s="45"/>
      <c r="V424" s="45"/>
    </row>
    <row r="425">
      <c r="O425" s="41"/>
      <c r="P425" s="45"/>
      <c r="R425" s="45"/>
      <c r="T425" s="45"/>
      <c r="V425" s="45"/>
    </row>
    <row r="426">
      <c r="O426" s="41"/>
      <c r="P426" s="45"/>
      <c r="R426" s="45"/>
      <c r="T426" s="45"/>
      <c r="V426" s="45"/>
    </row>
    <row r="427">
      <c r="O427" s="41"/>
      <c r="P427" s="45"/>
      <c r="R427" s="45"/>
      <c r="T427" s="45"/>
      <c r="V427" s="45"/>
    </row>
    <row r="428">
      <c r="O428" s="41"/>
      <c r="P428" s="45"/>
      <c r="R428" s="45"/>
      <c r="T428" s="45"/>
      <c r="V428" s="45"/>
    </row>
    <row r="429">
      <c r="O429" s="41"/>
      <c r="P429" s="45"/>
      <c r="R429" s="45"/>
      <c r="T429" s="45"/>
      <c r="V429" s="45"/>
    </row>
    <row r="430">
      <c r="O430" s="41"/>
      <c r="P430" s="45"/>
      <c r="R430" s="45"/>
      <c r="T430" s="45"/>
      <c r="V430" s="45"/>
    </row>
    <row r="431">
      <c r="O431" s="41"/>
      <c r="P431" s="45"/>
      <c r="R431" s="45"/>
      <c r="T431" s="45"/>
      <c r="V431" s="45"/>
    </row>
    <row r="432">
      <c r="O432" s="41"/>
      <c r="P432" s="45"/>
      <c r="R432" s="45"/>
      <c r="T432" s="45"/>
      <c r="V432" s="45"/>
    </row>
    <row r="433">
      <c r="O433" s="41"/>
      <c r="P433" s="45"/>
      <c r="R433" s="45"/>
      <c r="T433" s="45"/>
      <c r="V433" s="45"/>
    </row>
    <row r="434">
      <c r="O434" s="41"/>
      <c r="P434" s="45"/>
      <c r="R434" s="45"/>
      <c r="T434" s="45"/>
      <c r="V434" s="45"/>
    </row>
    <row r="435">
      <c r="O435" s="41"/>
      <c r="P435" s="45"/>
      <c r="R435" s="45"/>
      <c r="T435" s="45"/>
      <c r="V435" s="45"/>
    </row>
    <row r="436">
      <c r="O436" s="41"/>
      <c r="P436" s="45"/>
      <c r="R436" s="45"/>
      <c r="T436" s="45"/>
      <c r="V436" s="45"/>
    </row>
    <row r="437">
      <c r="O437" s="41"/>
      <c r="P437" s="45"/>
      <c r="R437" s="45"/>
      <c r="T437" s="45"/>
      <c r="V437" s="45"/>
    </row>
    <row r="438">
      <c r="O438" s="41"/>
      <c r="P438" s="45"/>
      <c r="R438" s="45"/>
      <c r="T438" s="45"/>
      <c r="V438" s="45"/>
    </row>
    <row r="439">
      <c r="O439" s="41"/>
      <c r="P439" s="45"/>
      <c r="R439" s="45"/>
      <c r="T439" s="45"/>
      <c r="V439" s="45"/>
    </row>
    <row r="440">
      <c r="O440" s="41"/>
      <c r="P440" s="45"/>
      <c r="R440" s="45"/>
      <c r="T440" s="45"/>
      <c r="V440" s="45"/>
    </row>
    <row r="441">
      <c r="O441" s="41"/>
      <c r="P441" s="45"/>
      <c r="R441" s="45"/>
      <c r="T441" s="45"/>
      <c r="V441" s="45"/>
    </row>
    <row r="442">
      <c r="O442" s="41"/>
      <c r="P442" s="45"/>
      <c r="R442" s="45"/>
      <c r="T442" s="45"/>
      <c r="V442" s="45"/>
    </row>
    <row r="443">
      <c r="O443" s="41"/>
      <c r="P443" s="45"/>
      <c r="R443" s="45"/>
      <c r="T443" s="45"/>
      <c r="V443" s="45"/>
    </row>
    <row r="444">
      <c r="O444" s="41"/>
      <c r="P444" s="45"/>
      <c r="R444" s="45"/>
      <c r="T444" s="45"/>
      <c r="V444" s="45"/>
    </row>
    <row r="445">
      <c r="O445" s="41"/>
      <c r="P445" s="45"/>
      <c r="R445" s="45"/>
      <c r="T445" s="45"/>
      <c r="V445" s="45"/>
    </row>
    <row r="446">
      <c r="O446" s="41"/>
      <c r="P446" s="45"/>
      <c r="R446" s="45"/>
      <c r="T446" s="45"/>
      <c r="V446" s="45"/>
    </row>
    <row r="447">
      <c r="O447" s="41"/>
      <c r="P447" s="45"/>
      <c r="R447" s="45"/>
      <c r="T447" s="45"/>
      <c r="V447" s="45"/>
    </row>
    <row r="448">
      <c r="O448" s="41"/>
      <c r="P448" s="45"/>
      <c r="R448" s="45"/>
      <c r="T448" s="45"/>
      <c r="V448" s="45"/>
    </row>
    <row r="449">
      <c r="O449" s="41"/>
      <c r="P449" s="45"/>
      <c r="R449" s="45"/>
      <c r="T449" s="45"/>
      <c r="V449" s="45"/>
    </row>
    <row r="450">
      <c r="O450" s="41"/>
      <c r="P450" s="45"/>
      <c r="R450" s="45"/>
      <c r="T450" s="45"/>
      <c r="V450" s="45"/>
    </row>
    <row r="451">
      <c r="O451" s="41"/>
      <c r="P451" s="45"/>
      <c r="R451" s="45"/>
      <c r="T451" s="45"/>
      <c r="V451" s="45"/>
    </row>
    <row r="452">
      <c r="O452" s="41"/>
      <c r="P452" s="45"/>
      <c r="R452" s="45"/>
      <c r="T452" s="45"/>
      <c r="V452" s="45"/>
    </row>
    <row r="453">
      <c r="O453" s="41"/>
      <c r="P453" s="45"/>
      <c r="R453" s="45"/>
      <c r="T453" s="45"/>
      <c r="V453" s="45"/>
    </row>
    <row r="454">
      <c r="O454" s="41"/>
      <c r="P454" s="45"/>
      <c r="R454" s="45"/>
      <c r="T454" s="45"/>
      <c r="V454" s="45"/>
    </row>
    <row r="455">
      <c r="O455" s="41"/>
      <c r="P455" s="45"/>
      <c r="R455" s="45"/>
      <c r="T455" s="45"/>
      <c r="V455" s="45"/>
    </row>
    <row r="456">
      <c r="O456" s="41"/>
      <c r="P456" s="45"/>
      <c r="R456" s="45"/>
      <c r="T456" s="45"/>
      <c r="V456" s="45"/>
    </row>
    <row r="457">
      <c r="O457" s="41"/>
      <c r="P457" s="45"/>
      <c r="R457" s="45"/>
      <c r="T457" s="45"/>
      <c r="V457" s="45"/>
    </row>
    <row r="458">
      <c r="O458" s="41"/>
      <c r="P458" s="45"/>
      <c r="R458" s="45"/>
      <c r="T458" s="45"/>
      <c r="V458" s="45"/>
    </row>
    <row r="459">
      <c r="O459" s="41"/>
      <c r="P459" s="45"/>
      <c r="R459" s="45"/>
      <c r="T459" s="45"/>
      <c r="V459" s="45"/>
    </row>
    <row r="460">
      <c r="O460" s="41"/>
      <c r="P460" s="45"/>
      <c r="R460" s="45"/>
      <c r="T460" s="45"/>
      <c r="V460" s="45"/>
    </row>
    <row r="461">
      <c r="O461" s="41"/>
      <c r="P461" s="45"/>
      <c r="R461" s="45"/>
      <c r="T461" s="45"/>
      <c r="V461" s="45"/>
    </row>
    <row r="462">
      <c r="O462" s="41"/>
      <c r="P462" s="45"/>
      <c r="R462" s="45"/>
      <c r="T462" s="45"/>
      <c r="V462" s="45"/>
    </row>
    <row r="463">
      <c r="O463" s="41"/>
      <c r="P463" s="45"/>
      <c r="R463" s="45"/>
      <c r="T463" s="45"/>
      <c r="V463" s="45"/>
    </row>
    <row r="464">
      <c r="O464" s="41"/>
      <c r="P464" s="45"/>
      <c r="R464" s="45"/>
      <c r="T464" s="45"/>
      <c r="V464" s="45"/>
    </row>
    <row r="465">
      <c r="O465" s="41"/>
      <c r="P465" s="45"/>
      <c r="R465" s="45"/>
      <c r="T465" s="45"/>
      <c r="V465" s="45"/>
    </row>
    <row r="466">
      <c r="O466" s="41"/>
      <c r="P466" s="45"/>
      <c r="R466" s="45"/>
      <c r="T466" s="45"/>
      <c r="V466" s="45"/>
    </row>
    <row r="467">
      <c r="O467" s="41"/>
      <c r="P467" s="45"/>
      <c r="R467" s="45"/>
      <c r="T467" s="45"/>
      <c r="V467" s="45"/>
    </row>
    <row r="468">
      <c r="O468" s="41"/>
      <c r="P468" s="45"/>
      <c r="R468" s="45"/>
      <c r="T468" s="45"/>
      <c r="V468" s="45"/>
    </row>
    <row r="469">
      <c r="O469" s="41"/>
      <c r="P469" s="45"/>
      <c r="R469" s="45"/>
      <c r="T469" s="45"/>
      <c r="V469" s="45"/>
    </row>
    <row r="470">
      <c r="O470" s="41"/>
      <c r="P470" s="45"/>
      <c r="R470" s="45"/>
      <c r="T470" s="45"/>
      <c r="V470" s="45"/>
    </row>
    <row r="471">
      <c r="O471" s="41"/>
      <c r="P471" s="45"/>
      <c r="R471" s="45"/>
      <c r="T471" s="45"/>
      <c r="V471" s="45"/>
    </row>
    <row r="472">
      <c r="O472" s="41"/>
      <c r="P472" s="45"/>
      <c r="R472" s="45"/>
      <c r="T472" s="45"/>
      <c r="V472" s="45"/>
    </row>
    <row r="473">
      <c r="O473" s="41"/>
      <c r="P473" s="45"/>
      <c r="R473" s="45"/>
      <c r="T473" s="45"/>
      <c r="V473" s="45"/>
    </row>
    <row r="474">
      <c r="O474" s="41"/>
      <c r="P474" s="45"/>
      <c r="R474" s="45"/>
      <c r="T474" s="45"/>
      <c r="V474" s="45"/>
    </row>
    <row r="475">
      <c r="O475" s="41"/>
      <c r="P475" s="45"/>
      <c r="R475" s="45"/>
      <c r="T475" s="45"/>
      <c r="V475" s="45"/>
    </row>
    <row r="476">
      <c r="O476" s="41"/>
      <c r="P476" s="45"/>
      <c r="R476" s="45"/>
      <c r="T476" s="45"/>
      <c r="V476" s="45"/>
    </row>
    <row r="477">
      <c r="O477" s="41"/>
      <c r="P477" s="45"/>
      <c r="R477" s="45"/>
      <c r="T477" s="45"/>
      <c r="V477" s="45"/>
    </row>
    <row r="478">
      <c r="O478" s="41"/>
      <c r="P478" s="45"/>
      <c r="R478" s="45"/>
      <c r="T478" s="45"/>
      <c r="V478" s="45"/>
    </row>
    <row r="479">
      <c r="O479" s="41"/>
      <c r="P479" s="45"/>
      <c r="R479" s="45"/>
      <c r="T479" s="45"/>
      <c r="V479" s="45"/>
    </row>
    <row r="480">
      <c r="O480" s="41"/>
      <c r="P480" s="45"/>
      <c r="R480" s="45"/>
      <c r="T480" s="45"/>
      <c r="V480" s="45"/>
    </row>
    <row r="481">
      <c r="O481" s="41"/>
      <c r="P481" s="45"/>
      <c r="R481" s="45"/>
      <c r="T481" s="45"/>
      <c r="V481" s="45"/>
    </row>
    <row r="482">
      <c r="O482" s="41"/>
      <c r="P482" s="45"/>
      <c r="R482" s="45"/>
      <c r="T482" s="45"/>
      <c r="V482" s="45"/>
    </row>
    <row r="483">
      <c r="O483" s="41"/>
      <c r="P483" s="45"/>
      <c r="R483" s="45"/>
      <c r="T483" s="45"/>
      <c r="V483" s="45"/>
    </row>
    <row r="484">
      <c r="O484" s="41"/>
      <c r="P484" s="45"/>
      <c r="R484" s="45"/>
      <c r="T484" s="45"/>
      <c r="V484" s="45"/>
    </row>
    <row r="485">
      <c r="O485" s="41"/>
      <c r="P485" s="45"/>
      <c r="R485" s="45"/>
      <c r="T485" s="45"/>
      <c r="V485" s="45"/>
    </row>
    <row r="486">
      <c r="O486" s="41"/>
      <c r="P486" s="45"/>
      <c r="R486" s="45"/>
      <c r="T486" s="45"/>
      <c r="V486" s="45"/>
    </row>
    <row r="487">
      <c r="O487" s="41"/>
      <c r="P487" s="45"/>
      <c r="R487" s="45"/>
      <c r="T487" s="45"/>
      <c r="V487" s="45"/>
    </row>
    <row r="488">
      <c r="O488" s="41"/>
      <c r="P488" s="45"/>
      <c r="R488" s="45"/>
      <c r="T488" s="45"/>
      <c r="V488" s="45"/>
    </row>
    <row r="489">
      <c r="O489" s="41"/>
      <c r="P489" s="45"/>
      <c r="R489" s="45"/>
      <c r="T489" s="45"/>
      <c r="V489" s="45"/>
    </row>
    <row r="490">
      <c r="O490" s="41"/>
      <c r="P490" s="45"/>
      <c r="R490" s="45"/>
      <c r="T490" s="45"/>
      <c r="V490" s="45"/>
    </row>
    <row r="491">
      <c r="O491" s="41"/>
      <c r="P491" s="45"/>
      <c r="R491" s="45"/>
      <c r="T491" s="45"/>
      <c r="V491" s="45"/>
    </row>
    <row r="492">
      <c r="O492" s="41"/>
      <c r="P492" s="45"/>
      <c r="R492" s="45"/>
      <c r="T492" s="45"/>
      <c r="V492" s="45"/>
    </row>
    <row r="493">
      <c r="O493" s="41"/>
      <c r="P493" s="45"/>
      <c r="R493" s="45"/>
      <c r="T493" s="45"/>
      <c r="V493" s="45"/>
    </row>
    <row r="494">
      <c r="O494" s="41"/>
      <c r="P494" s="45"/>
      <c r="R494" s="45"/>
      <c r="T494" s="45"/>
      <c r="V494" s="45"/>
    </row>
    <row r="495">
      <c r="O495" s="41"/>
      <c r="P495" s="45"/>
      <c r="R495" s="45"/>
      <c r="T495" s="45"/>
      <c r="V495" s="45"/>
    </row>
    <row r="496">
      <c r="O496" s="41"/>
      <c r="P496" s="45"/>
      <c r="R496" s="45"/>
      <c r="T496" s="45"/>
      <c r="V496" s="45"/>
    </row>
    <row r="497">
      <c r="O497" s="41"/>
      <c r="P497" s="45"/>
      <c r="R497" s="45"/>
      <c r="T497" s="45"/>
      <c r="V497" s="45"/>
    </row>
    <row r="498">
      <c r="O498" s="41"/>
      <c r="P498" s="45"/>
      <c r="R498" s="45"/>
      <c r="T498" s="45"/>
      <c r="V498" s="45"/>
    </row>
    <row r="499">
      <c r="O499" s="41"/>
      <c r="P499" s="45"/>
      <c r="R499" s="45"/>
      <c r="T499" s="45"/>
      <c r="V499" s="45"/>
    </row>
    <row r="500">
      <c r="O500" s="41"/>
      <c r="P500" s="45"/>
      <c r="R500" s="45"/>
      <c r="T500" s="45"/>
      <c r="V500" s="45"/>
    </row>
    <row r="501">
      <c r="O501" s="41"/>
      <c r="P501" s="45"/>
      <c r="R501" s="45"/>
      <c r="T501" s="45"/>
      <c r="V501" s="45"/>
    </row>
    <row r="502">
      <c r="O502" s="41"/>
      <c r="P502" s="45"/>
      <c r="R502" s="45"/>
      <c r="T502" s="45"/>
      <c r="V502" s="45"/>
    </row>
    <row r="503">
      <c r="O503" s="41"/>
      <c r="P503" s="45"/>
      <c r="R503" s="45"/>
      <c r="T503" s="45"/>
      <c r="V503" s="45"/>
    </row>
    <row r="504">
      <c r="O504" s="41"/>
      <c r="P504" s="45"/>
      <c r="R504" s="45"/>
      <c r="T504" s="45"/>
      <c r="V504" s="45"/>
    </row>
    <row r="505">
      <c r="O505" s="41"/>
      <c r="P505" s="45"/>
      <c r="R505" s="45"/>
      <c r="T505" s="45"/>
      <c r="V505" s="45"/>
    </row>
    <row r="506">
      <c r="O506" s="41"/>
      <c r="P506" s="45"/>
      <c r="R506" s="45"/>
      <c r="T506" s="45"/>
      <c r="V506" s="45"/>
    </row>
    <row r="507">
      <c r="O507" s="41"/>
      <c r="P507" s="45"/>
      <c r="R507" s="45"/>
      <c r="T507" s="45"/>
      <c r="V507" s="45"/>
    </row>
    <row r="508">
      <c r="O508" s="41"/>
      <c r="P508" s="45"/>
      <c r="R508" s="45"/>
      <c r="T508" s="45"/>
      <c r="V508" s="45"/>
    </row>
    <row r="509">
      <c r="O509" s="41"/>
      <c r="P509" s="45"/>
      <c r="R509" s="45"/>
      <c r="T509" s="45"/>
      <c r="V509" s="45"/>
    </row>
    <row r="510">
      <c r="O510" s="41"/>
      <c r="P510" s="45"/>
      <c r="R510" s="45"/>
      <c r="T510" s="45"/>
      <c r="V510" s="45"/>
    </row>
    <row r="511">
      <c r="O511" s="41"/>
      <c r="P511" s="45"/>
      <c r="R511" s="45"/>
      <c r="T511" s="45"/>
      <c r="V511" s="45"/>
    </row>
    <row r="512">
      <c r="O512" s="41"/>
      <c r="P512" s="45"/>
      <c r="R512" s="45"/>
      <c r="T512" s="45"/>
      <c r="V512" s="45"/>
    </row>
    <row r="513">
      <c r="O513" s="41"/>
      <c r="P513" s="45"/>
      <c r="R513" s="45"/>
      <c r="T513" s="45"/>
      <c r="V513" s="45"/>
    </row>
    <row r="514">
      <c r="O514" s="41"/>
      <c r="P514" s="45"/>
      <c r="R514" s="45"/>
      <c r="T514" s="45"/>
      <c r="V514" s="45"/>
    </row>
    <row r="515">
      <c r="O515" s="41"/>
      <c r="P515" s="45"/>
      <c r="R515" s="45"/>
      <c r="T515" s="45"/>
      <c r="V515" s="45"/>
    </row>
    <row r="516">
      <c r="O516" s="41"/>
      <c r="P516" s="45"/>
      <c r="R516" s="45"/>
      <c r="T516" s="45"/>
      <c r="V516" s="45"/>
    </row>
    <row r="517">
      <c r="O517" s="41"/>
      <c r="P517" s="45"/>
      <c r="R517" s="45"/>
      <c r="T517" s="45"/>
      <c r="V517" s="45"/>
    </row>
    <row r="518">
      <c r="O518" s="41"/>
      <c r="P518" s="45"/>
      <c r="R518" s="45"/>
      <c r="T518" s="45"/>
      <c r="V518" s="45"/>
    </row>
    <row r="519">
      <c r="O519" s="41"/>
      <c r="P519" s="45"/>
      <c r="R519" s="45"/>
      <c r="T519" s="45"/>
      <c r="V519" s="45"/>
    </row>
    <row r="520">
      <c r="O520" s="41"/>
      <c r="P520" s="45"/>
      <c r="R520" s="45"/>
      <c r="T520" s="45"/>
      <c r="V520" s="45"/>
    </row>
    <row r="521">
      <c r="O521" s="41"/>
      <c r="P521" s="45"/>
      <c r="R521" s="45"/>
      <c r="T521" s="45"/>
      <c r="V521" s="45"/>
    </row>
    <row r="522">
      <c r="O522" s="41"/>
      <c r="P522" s="45"/>
      <c r="R522" s="45"/>
      <c r="T522" s="45"/>
      <c r="V522" s="45"/>
    </row>
    <row r="523">
      <c r="O523" s="41"/>
      <c r="P523" s="45"/>
      <c r="R523" s="45"/>
      <c r="T523" s="45"/>
      <c r="V523" s="45"/>
    </row>
    <row r="524">
      <c r="O524" s="41"/>
      <c r="P524" s="45"/>
      <c r="R524" s="45"/>
      <c r="T524" s="45"/>
      <c r="V524" s="45"/>
    </row>
    <row r="525">
      <c r="O525" s="41"/>
      <c r="P525" s="45"/>
      <c r="R525" s="45"/>
      <c r="T525" s="45"/>
      <c r="V525" s="45"/>
    </row>
    <row r="526">
      <c r="O526" s="41"/>
      <c r="P526" s="45"/>
      <c r="R526" s="45"/>
      <c r="T526" s="45"/>
      <c r="V526" s="45"/>
    </row>
    <row r="527">
      <c r="O527" s="41"/>
      <c r="P527" s="45"/>
      <c r="R527" s="45"/>
      <c r="T527" s="45"/>
      <c r="V527" s="45"/>
    </row>
    <row r="528">
      <c r="O528" s="41"/>
      <c r="P528" s="45"/>
      <c r="R528" s="45"/>
      <c r="T528" s="45"/>
      <c r="V528" s="45"/>
    </row>
    <row r="529">
      <c r="O529" s="41"/>
      <c r="P529" s="45"/>
      <c r="R529" s="45"/>
      <c r="T529" s="45"/>
      <c r="V529" s="45"/>
    </row>
    <row r="530">
      <c r="O530" s="41"/>
      <c r="P530" s="45"/>
      <c r="R530" s="45"/>
      <c r="T530" s="45"/>
      <c r="V530" s="45"/>
    </row>
    <row r="531">
      <c r="O531" s="41"/>
      <c r="P531" s="45"/>
      <c r="R531" s="45"/>
      <c r="T531" s="45"/>
      <c r="V531" s="45"/>
    </row>
    <row r="532">
      <c r="O532" s="41"/>
      <c r="P532" s="45"/>
      <c r="R532" s="45"/>
      <c r="T532" s="45"/>
      <c r="V532" s="45"/>
    </row>
    <row r="533">
      <c r="O533" s="41"/>
      <c r="P533" s="45"/>
      <c r="R533" s="45"/>
      <c r="T533" s="45"/>
      <c r="V533" s="45"/>
    </row>
    <row r="534">
      <c r="O534" s="41"/>
      <c r="P534" s="45"/>
      <c r="R534" s="45"/>
      <c r="T534" s="45"/>
      <c r="V534" s="45"/>
    </row>
    <row r="535">
      <c r="O535" s="41"/>
      <c r="P535" s="45"/>
      <c r="R535" s="45"/>
      <c r="T535" s="45"/>
      <c r="V535" s="45"/>
    </row>
    <row r="536">
      <c r="O536" s="41"/>
      <c r="P536" s="45"/>
      <c r="R536" s="45"/>
      <c r="T536" s="45"/>
      <c r="V536" s="45"/>
    </row>
    <row r="537">
      <c r="O537" s="41"/>
      <c r="P537" s="45"/>
      <c r="R537" s="45"/>
      <c r="T537" s="45"/>
      <c r="V537" s="45"/>
    </row>
    <row r="538">
      <c r="O538" s="41"/>
      <c r="P538" s="45"/>
      <c r="R538" s="45"/>
      <c r="T538" s="45"/>
      <c r="V538" s="45"/>
    </row>
    <row r="539">
      <c r="O539" s="41"/>
      <c r="P539" s="45"/>
      <c r="R539" s="45"/>
      <c r="T539" s="45"/>
      <c r="V539" s="45"/>
    </row>
    <row r="540">
      <c r="O540" s="41"/>
      <c r="P540" s="45"/>
      <c r="R540" s="45"/>
      <c r="T540" s="45"/>
      <c r="V540" s="45"/>
    </row>
    <row r="541">
      <c r="O541" s="41"/>
      <c r="P541" s="45"/>
      <c r="R541" s="45"/>
      <c r="T541" s="45"/>
      <c r="V541" s="45"/>
    </row>
    <row r="542">
      <c r="O542" s="41"/>
      <c r="P542" s="45"/>
      <c r="R542" s="45"/>
      <c r="T542" s="45"/>
      <c r="V542" s="45"/>
    </row>
    <row r="543">
      <c r="O543" s="41"/>
      <c r="P543" s="45"/>
      <c r="R543" s="45"/>
      <c r="T543" s="45"/>
      <c r="V543" s="45"/>
    </row>
    <row r="544">
      <c r="O544" s="41"/>
      <c r="P544" s="45"/>
      <c r="R544" s="45"/>
      <c r="T544" s="45"/>
      <c r="V544" s="45"/>
    </row>
    <row r="545">
      <c r="O545" s="41"/>
      <c r="P545" s="45"/>
      <c r="R545" s="45"/>
      <c r="T545" s="45"/>
      <c r="V545" s="45"/>
    </row>
    <row r="546">
      <c r="O546" s="41"/>
      <c r="P546" s="45"/>
      <c r="R546" s="45"/>
      <c r="T546" s="45"/>
      <c r="V546" s="45"/>
    </row>
    <row r="547">
      <c r="O547" s="41"/>
      <c r="P547" s="45"/>
      <c r="R547" s="45"/>
      <c r="T547" s="45"/>
      <c r="V547" s="45"/>
    </row>
    <row r="548">
      <c r="O548" s="41"/>
      <c r="P548" s="45"/>
      <c r="R548" s="45"/>
      <c r="T548" s="45"/>
      <c r="V548" s="45"/>
    </row>
    <row r="549">
      <c r="O549" s="41"/>
      <c r="P549" s="45"/>
      <c r="R549" s="45"/>
      <c r="T549" s="45"/>
      <c r="V549" s="45"/>
    </row>
    <row r="550">
      <c r="O550" s="41"/>
      <c r="P550" s="45"/>
      <c r="R550" s="45"/>
      <c r="T550" s="45"/>
      <c r="V550" s="45"/>
    </row>
    <row r="551">
      <c r="O551" s="41"/>
      <c r="P551" s="45"/>
      <c r="R551" s="45"/>
      <c r="T551" s="45"/>
      <c r="V551" s="45"/>
    </row>
    <row r="552">
      <c r="O552" s="41"/>
      <c r="P552" s="45"/>
      <c r="R552" s="45"/>
      <c r="T552" s="45"/>
      <c r="V552" s="45"/>
    </row>
    <row r="553">
      <c r="O553" s="41"/>
      <c r="P553" s="45"/>
      <c r="R553" s="45"/>
      <c r="T553" s="45"/>
      <c r="V553" s="45"/>
    </row>
    <row r="554">
      <c r="O554" s="41"/>
      <c r="P554" s="45"/>
      <c r="R554" s="45"/>
      <c r="T554" s="45"/>
      <c r="V554" s="45"/>
    </row>
    <row r="555">
      <c r="O555" s="41"/>
      <c r="P555" s="45"/>
      <c r="R555" s="45"/>
      <c r="T555" s="45"/>
      <c r="V555" s="45"/>
    </row>
    <row r="556">
      <c r="O556" s="41"/>
      <c r="P556" s="45"/>
      <c r="R556" s="45"/>
      <c r="T556" s="45"/>
      <c r="V556" s="45"/>
    </row>
    <row r="557">
      <c r="O557" s="41"/>
      <c r="P557" s="45"/>
      <c r="R557" s="45"/>
      <c r="T557" s="45"/>
      <c r="V557" s="45"/>
    </row>
    <row r="558">
      <c r="O558" s="41"/>
      <c r="P558" s="45"/>
      <c r="R558" s="45"/>
      <c r="T558" s="45"/>
      <c r="V558" s="45"/>
    </row>
    <row r="559">
      <c r="O559" s="41"/>
      <c r="P559" s="45"/>
      <c r="R559" s="45"/>
      <c r="T559" s="45"/>
      <c r="V559" s="45"/>
    </row>
    <row r="560">
      <c r="O560" s="41"/>
      <c r="P560" s="45"/>
      <c r="R560" s="45"/>
      <c r="T560" s="45"/>
      <c r="V560" s="45"/>
    </row>
    <row r="561">
      <c r="O561" s="41"/>
      <c r="P561" s="45"/>
      <c r="R561" s="45"/>
      <c r="T561" s="45"/>
      <c r="V561" s="45"/>
    </row>
    <row r="562">
      <c r="O562" s="41"/>
      <c r="P562" s="45"/>
      <c r="R562" s="45"/>
      <c r="T562" s="45"/>
      <c r="V562" s="45"/>
    </row>
    <row r="563">
      <c r="O563" s="41"/>
      <c r="P563" s="45"/>
      <c r="R563" s="45"/>
      <c r="T563" s="45"/>
      <c r="V563" s="45"/>
    </row>
    <row r="564">
      <c r="O564" s="41"/>
      <c r="P564" s="45"/>
      <c r="R564" s="45"/>
      <c r="T564" s="45"/>
      <c r="V564" s="45"/>
    </row>
    <row r="565">
      <c r="O565" s="41"/>
      <c r="P565" s="45"/>
      <c r="R565" s="45"/>
      <c r="T565" s="45"/>
      <c r="V565" s="45"/>
    </row>
    <row r="566">
      <c r="O566" s="41"/>
      <c r="P566" s="45"/>
      <c r="R566" s="45"/>
      <c r="T566" s="45"/>
      <c r="V566" s="45"/>
    </row>
    <row r="567">
      <c r="O567" s="41"/>
      <c r="P567" s="45"/>
      <c r="R567" s="45"/>
      <c r="T567" s="45"/>
      <c r="V567" s="45"/>
    </row>
    <row r="568">
      <c r="O568" s="41"/>
      <c r="P568" s="45"/>
      <c r="R568" s="45"/>
      <c r="T568" s="45"/>
      <c r="V568" s="45"/>
    </row>
    <row r="569">
      <c r="O569" s="41"/>
      <c r="P569" s="45"/>
      <c r="R569" s="45"/>
      <c r="T569" s="45"/>
      <c r="V569" s="45"/>
    </row>
    <row r="570">
      <c r="O570" s="41"/>
      <c r="P570" s="45"/>
      <c r="R570" s="45"/>
      <c r="T570" s="45"/>
      <c r="V570" s="45"/>
    </row>
    <row r="571">
      <c r="O571" s="41"/>
      <c r="P571" s="45"/>
      <c r="R571" s="45"/>
      <c r="T571" s="45"/>
      <c r="V571" s="45"/>
    </row>
    <row r="572">
      <c r="O572" s="41"/>
      <c r="P572" s="45"/>
      <c r="R572" s="45"/>
      <c r="T572" s="45"/>
      <c r="V572" s="45"/>
    </row>
    <row r="573">
      <c r="O573" s="41"/>
      <c r="P573" s="45"/>
      <c r="R573" s="45"/>
      <c r="T573" s="45"/>
      <c r="V573" s="45"/>
    </row>
    <row r="574">
      <c r="O574" s="41"/>
      <c r="P574" s="45"/>
      <c r="R574" s="45"/>
      <c r="T574" s="45"/>
      <c r="V574" s="45"/>
    </row>
    <row r="575">
      <c r="O575" s="41"/>
      <c r="P575" s="45"/>
      <c r="R575" s="45"/>
      <c r="T575" s="45"/>
      <c r="V575" s="45"/>
    </row>
    <row r="576">
      <c r="O576" s="41"/>
      <c r="P576" s="45"/>
      <c r="R576" s="45"/>
      <c r="T576" s="45"/>
      <c r="V576" s="45"/>
    </row>
    <row r="577">
      <c r="O577" s="41"/>
      <c r="P577" s="45"/>
      <c r="R577" s="45"/>
      <c r="T577" s="45"/>
      <c r="V577" s="45"/>
    </row>
    <row r="578">
      <c r="O578" s="41"/>
      <c r="P578" s="45"/>
      <c r="R578" s="45"/>
      <c r="T578" s="45"/>
      <c r="V578" s="45"/>
    </row>
    <row r="579">
      <c r="O579" s="41"/>
      <c r="P579" s="45"/>
      <c r="R579" s="45"/>
      <c r="T579" s="45"/>
      <c r="V579" s="45"/>
    </row>
    <row r="580">
      <c r="O580" s="41"/>
      <c r="P580" s="45"/>
      <c r="R580" s="45"/>
      <c r="T580" s="45"/>
      <c r="V580" s="45"/>
    </row>
    <row r="581">
      <c r="O581" s="41"/>
      <c r="P581" s="45"/>
      <c r="R581" s="45"/>
      <c r="T581" s="45"/>
      <c r="V581" s="45"/>
    </row>
    <row r="582">
      <c r="O582" s="41"/>
      <c r="P582" s="45"/>
      <c r="R582" s="45"/>
      <c r="T582" s="45"/>
      <c r="V582" s="45"/>
    </row>
    <row r="583">
      <c r="O583" s="41"/>
      <c r="P583" s="45"/>
      <c r="R583" s="45"/>
      <c r="T583" s="45"/>
      <c r="V583" s="45"/>
    </row>
    <row r="584">
      <c r="O584" s="41"/>
      <c r="P584" s="45"/>
      <c r="R584" s="45"/>
      <c r="T584" s="45"/>
      <c r="V584" s="45"/>
    </row>
    <row r="585">
      <c r="O585" s="41"/>
      <c r="P585" s="45"/>
      <c r="R585" s="45"/>
      <c r="T585" s="45"/>
      <c r="V585" s="45"/>
    </row>
    <row r="586">
      <c r="O586" s="41"/>
      <c r="P586" s="45"/>
      <c r="R586" s="45"/>
      <c r="T586" s="45"/>
      <c r="V586" s="45"/>
    </row>
    <row r="587">
      <c r="O587" s="41"/>
      <c r="P587" s="45"/>
      <c r="R587" s="45"/>
      <c r="T587" s="45"/>
      <c r="V587" s="45"/>
    </row>
    <row r="588">
      <c r="O588" s="41"/>
      <c r="P588" s="45"/>
      <c r="R588" s="45"/>
      <c r="T588" s="45"/>
      <c r="V588" s="45"/>
    </row>
    <row r="589">
      <c r="O589" s="41"/>
      <c r="P589" s="45"/>
      <c r="R589" s="45"/>
      <c r="T589" s="45"/>
      <c r="V589" s="45"/>
    </row>
    <row r="590">
      <c r="O590" s="41"/>
      <c r="P590" s="45"/>
      <c r="R590" s="45"/>
      <c r="T590" s="45"/>
      <c r="V590" s="45"/>
    </row>
    <row r="591">
      <c r="O591" s="41"/>
      <c r="P591" s="45"/>
      <c r="R591" s="45"/>
      <c r="T591" s="45"/>
      <c r="V591" s="45"/>
    </row>
    <row r="592">
      <c r="O592" s="41"/>
      <c r="P592" s="45"/>
      <c r="R592" s="45"/>
      <c r="T592" s="45"/>
      <c r="V592" s="45"/>
    </row>
    <row r="593">
      <c r="O593" s="41"/>
      <c r="P593" s="45"/>
      <c r="R593" s="45"/>
      <c r="T593" s="45"/>
      <c r="V593" s="45"/>
    </row>
    <row r="594">
      <c r="O594" s="41"/>
      <c r="P594" s="45"/>
      <c r="R594" s="45"/>
      <c r="T594" s="45"/>
      <c r="V594" s="45"/>
    </row>
    <row r="595">
      <c r="O595" s="41"/>
      <c r="P595" s="45"/>
      <c r="R595" s="45"/>
      <c r="T595" s="45"/>
      <c r="V595" s="45"/>
    </row>
    <row r="596">
      <c r="O596" s="41"/>
      <c r="P596" s="45"/>
      <c r="R596" s="45"/>
      <c r="T596" s="45"/>
      <c r="V596" s="45"/>
    </row>
    <row r="597">
      <c r="O597" s="41"/>
      <c r="P597" s="45"/>
      <c r="R597" s="45"/>
      <c r="T597" s="45"/>
      <c r="V597" s="45"/>
    </row>
    <row r="598">
      <c r="O598" s="41"/>
      <c r="P598" s="45"/>
      <c r="R598" s="45"/>
      <c r="T598" s="45"/>
      <c r="V598" s="45"/>
    </row>
    <row r="599">
      <c r="O599" s="41"/>
      <c r="P599" s="45"/>
      <c r="R599" s="45"/>
      <c r="T599" s="45"/>
      <c r="V599" s="45"/>
    </row>
    <row r="600">
      <c r="O600" s="41"/>
      <c r="P600" s="45"/>
      <c r="R600" s="45"/>
      <c r="T600" s="45"/>
      <c r="V600" s="45"/>
    </row>
    <row r="601">
      <c r="O601" s="41"/>
      <c r="P601" s="45"/>
      <c r="R601" s="45"/>
      <c r="T601" s="45"/>
      <c r="V601" s="45"/>
    </row>
    <row r="602">
      <c r="O602" s="41"/>
      <c r="P602" s="45"/>
      <c r="R602" s="45"/>
      <c r="T602" s="45"/>
      <c r="V602" s="45"/>
    </row>
    <row r="603">
      <c r="O603" s="41"/>
      <c r="P603" s="45"/>
      <c r="R603" s="45"/>
      <c r="T603" s="45"/>
      <c r="V603" s="45"/>
    </row>
    <row r="604">
      <c r="O604" s="41"/>
      <c r="P604" s="45"/>
      <c r="R604" s="45"/>
      <c r="T604" s="45"/>
      <c r="V604" s="45"/>
    </row>
    <row r="605">
      <c r="O605" s="41"/>
      <c r="P605" s="45"/>
      <c r="R605" s="45"/>
      <c r="T605" s="45"/>
      <c r="V605" s="45"/>
    </row>
    <row r="606">
      <c r="O606" s="41"/>
      <c r="P606" s="45"/>
      <c r="R606" s="45"/>
      <c r="T606" s="45"/>
      <c r="V606" s="45"/>
    </row>
    <row r="607">
      <c r="O607" s="41"/>
      <c r="P607" s="45"/>
      <c r="R607" s="45"/>
      <c r="T607" s="45"/>
      <c r="V607" s="45"/>
    </row>
    <row r="608">
      <c r="O608" s="41"/>
      <c r="P608" s="45"/>
      <c r="R608" s="45"/>
      <c r="T608" s="45"/>
      <c r="V608" s="45"/>
    </row>
    <row r="609">
      <c r="O609" s="41"/>
      <c r="P609" s="45"/>
      <c r="R609" s="45"/>
      <c r="T609" s="45"/>
      <c r="V609" s="45"/>
    </row>
    <row r="610">
      <c r="O610" s="41"/>
      <c r="P610" s="45"/>
      <c r="R610" s="45"/>
      <c r="T610" s="45"/>
      <c r="V610" s="45"/>
    </row>
    <row r="611">
      <c r="O611" s="41"/>
      <c r="P611" s="45"/>
      <c r="R611" s="45"/>
      <c r="T611" s="45"/>
      <c r="V611" s="45"/>
    </row>
    <row r="612">
      <c r="O612" s="41"/>
      <c r="P612" s="45"/>
      <c r="R612" s="45"/>
      <c r="T612" s="45"/>
      <c r="V612" s="45"/>
    </row>
    <row r="613">
      <c r="O613" s="41"/>
      <c r="P613" s="45"/>
      <c r="R613" s="45"/>
      <c r="T613" s="45"/>
      <c r="V613" s="45"/>
    </row>
    <row r="614">
      <c r="O614" s="41"/>
      <c r="P614" s="45"/>
      <c r="R614" s="45"/>
      <c r="T614" s="45"/>
      <c r="V614" s="45"/>
    </row>
    <row r="615">
      <c r="O615" s="41"/>
      <c r="P615" s="45"/>
      <c r="R615" s="45"/>
      <c r="T615" s="45"/>
      <c r="V615" s="45"/>
    </row>
    <row r="616">
      <c r="O616" s="41"/>
      <c r="P616" s="45"/>
      <c r="R616" s="45"/>
      <c r="T616" s="45"/>
      <c r="V616" s="45"/>
    </row>
    <row r="617">
      <c r="O617" s="41"/>
      <c r="P617" s="45"/>
      <c r="R617" s="45"/>
      <c r="T617" s="45"/>
      <c r="V617" s="45"/>
    </row>
    <row r="618">
      <c r="O618" s="41"/>
      <c r="P618" s="45"/>
      <c r="R618" s="45"/>
      <c r="T618" s="45"/>
      <c r="V618" s="45"/>
    </row>
    <row r="619">
      <c r="O619" s="41"/>
      <c r="P619" s="45"/>
      <c r="R619" s="45"/>
      <c r="T619" s="45"/>
      <c r="V619" s="45"/>
    </row>
    <row r="620">
      <c r="O620" s="41"/>
      <c r="P620" s="45"/>
      <c r="R620" s="45"/>
      <c r="T620" s="45"/>
      <c r="V620" s="45"/>
    </row>
    <row r="621">
      <c r="O621" s="41"/>
      <c r="P621" s="45"/>
      <c r="R621" s="45"/>
      <c r="T621" s="45"/>
      <c r="V621" s="45"/>
    </row>
    <row r="622">
      <c r="O622" s="41"/>
      <c r="P622" s="45"/>
      <c r="R622" s="45"/>
      <c r="T622" s="45"/>
      <c r="V622" s="45"/>
    </row>
    <row r="623">
      <c r="O623" s="41"/>
      <c r="P623" s="45"/>
      <c r="R623" s="45"/>
      <c r="T623" s="45"/>
      <c r="V623" s="45"/>
    </row>
    <row r="624">
      <c r="O624" s="41"/>
      <c r="P624" s="45"/>
      <c r="R624" s="45"/>
      <c r="T624" s="45"/>
      <c r="V624" s="45"/>
    </row>
    <row r="625">
      <c r="O625" s="41"/>
      <c r="P625" s="45"/>
      <c r="R625" s="45"/>
      <c r="T625" s="45"/>
      <c r="V625" s="45"/>
    </row>
    <row r="626">
      <c r="O626" s="41"/>
      <c r="P626" s="45"/>
      <c r="R626" s="45"/>
      <c r="T626" s="45"/>
      <c r="V626" s="45"/>
    </row>
    <row r="627">
      <c r="O627" s="41"/>
      <c r="P627" s="45"/>
      <c r="R627" s="45"/>
      <c r="T627" s="45"/>
      <c r="V627" s="45"/>
    </row>
    <row r="628">
      <c r="O628" s="41"/>
      <c r="P628" s="45"/>
      <c r="R628" s="45"/>
      <c r="T628" s="45"/>
      <c r="V628" s="45"/>
    </row>
    <row r="629">
      <c r="O629" s="41"/>
      <c r="P629" s="45"/>
      <c r="R629" s="45"/>
      <c r="T629" s="45"/>
      <c r="V629" s="45"/>
    </row>
    <row r="630">
      <c r="O630" s="41"/>
      <c r="P630" s="45"/>
      <c r="R630" s="45"/>
      <c r="T630" s="45"/>
      <c r="V630" s="45"/>
    </row>
    <row r="631">
      <c r="O631" s="41"/>
      <c r="P631" s="45"/>
      <c r="R631" s="45"/>
      <c r="T631" s="45"/>
      <c r="V631" s="45"/>
    </row>
    <row r="632">
      <c r="O632" s="41"/>
      <c r="P632" s="45"/>
      <c r="R632" s="45"/>
      <c r="T632" s="45"/>
      <c r="V632" s="45"/>
    </row>
    <row r="633">
      <c r="O633" s="41"/>
      <c r="P633" s="45"/>
      <c r="R633" s="45"/>
      <c r="T633" s="45"/>
      <c r="V633" s="45"/>
    </row>
    <row r="634">
      <c r="O634" s="41"/>
      <c r="P634" s="45"/>
      <c r="R634" s="45"/>
      <c r="T634" s="45"/>
      <c r="V634" s="45"/>
    </row>
    <row r="635">
      <c r="O635" s="41"/>
      <c r="P635" s="45"/>
      <c r="R635" s="45"/>
      <c r="T635" s="45"/>
      <c r="V635" s="45"/>
    </row>
    <row r="636">
      <c r="O636" s="41"/>
      <c r="P636" s="45"/>
      <c r="R636" s="45"/>
      <c r="T636" s="45"/>
      <c r="V636" s="45"/>
    </row>
    <row r="637">
      <c r="O637" s="41"/>
      <c r="P637" s="45"/>
      <c r="R637" s="45"/>
      <c r="T637" s="45"/>
      <c r="V637" s="45"/>
    </row>
    <row r="638">
      <c r="O638" s="41"/>
      <c r="P638" s="45"/>
      <c r="R638" s="45"/>
      <c r="T638" s="45"/>
      <c r="V638" s="45"/>
    </row>
    <row r="639">
      <c r="O639" s="41"/>
      <c r="P639" s="45"/>
      <c r="R639" s="45"/>
      <c r="T639" s="45"/>
      <c r="V639" s="45"/>
    </row>
    <row r="640">
      <c r="O640" s="41"/>
      <c r="P640" s="45"/>
      <c r="R640" s="45"/>
      <c r="T640" s="45"/>
      <c r="V640" s="45"/>
    </row>
    <row r="641">
      <c r="O641" s="41"/>
      <c r="P641" s="45"/>
      <c r="R641" s="45"/>
      <c r="T641" s="45"/>
      <c r="V641" s="45"/>
    </row>
    <row r="642">
      <c r="O642" s="41"/>
      <c r="P642" s="45"/>
      <c r="R642" s="45"/>
      <c r="T642" s="45"/>
      <c r="V642" s="45"/>
    </row>
    <row r="643">
      <c r="O643" s="41"/>
      <c r="P643" s="45"/>
      <c r="R643" s="45"/>
      <c r="T643" s="45"/>
      <c r="V643" s="45"/>
    </row>
    <row r="644">
      <c r="O644" s="41"/>
      <c r="P644" s="45"/>
      <c r="R644" s="45"/>
      <c r="T644" s="45"/>
      <c r="V644" s="45"/>
    </row>
    <row r="645">
      <c r="O645" s="41"/>
      <c r="P645" s="45"/>
      <c r="R645" s="45"/>
      <c r="T645" s="45"/>
      <c r="V645" s="45"/>
    </row>
    <row r="646">
      <c r="O646" s="41"/>
      <c r="P646" s="45"/>
      <c r="R646" s="45"/>
      <c r="T646" s="45"/>
      <c r="V646" s="45"/>
    </row>
    <row r="647">
      <c r="O647" s="41"/>
      <c r="P647" s="45"/>
      <c r="R647" s="45"/>
      <c r="T647" s="45"/>
      <c r="V647" s="45"/>
    </row>
    <row r="648">
      <c r="O648" s="41"/>
      <c r="P648" s="45"/>
      <c r="R648" s="45"/>
      <c r="T648" s="45"/>
      <c r="V648" s="45"/>
    </row>
    <row r="649">
      <c r="O649" s="41"/>
      <c r="P649" s="45"/>
      <c r="R649" s="45"/>
      <c r="T649" s="45"/>
      <c r="V649" s="45"/>
    </row>
    <row r="650">
      <c r="O650" s="41"/>
      <c r="P650" s="45"/>
      <c r="R650" s="45"/>
      <c r="T650" s="45"/>
      <c r="V650" s="45"/>
    </row>
    <row r="651">
      <c r="O651" s="41"/>
      <c r="P651" s="45"/>
      <c r="R651" s="45"/>
      <c r="T651" s="45"/>
      <c r="V651" s="45"/>
    </row>
    <row r="652">
      <c r="O652" s="41"/>
      <c r="P652" s="45"/>
      <c r="R652" s="45"/>
      <c r="T652" s="45"/>
      <c r="V652" s="45"/>
    </row>
    <row r="653">
      <c r="O653" s="41"/>
      <c r="P653" s="45"/>
      <c r="R653" s="45"/>
      <c r="T653" s="45"/>
      <c r="V653" s="45"/>
    </row>
    <row r="654">
      <c r="O654" s="41"/>
      <c r="P654" s="45"/>
      <c r="R654" s="45"/>
      <c r="T654" s="45"/>
      <c r="V654" s="45"/>
    </row>
    <row r="655">
      <c r="O655" s="41"/>
      <c r="P655" s="45"/>
      <c r="R655" s="45"/>
      <c r="T655" s="45"/>
      <c r="V655" s="45"/>
    </row>
    <row r="656">
      <c r="O656" s="41"/>
      <c r="P656" s="45"/>
      <c r="R656" s="45"/>
      <c r="T656" s="45"/>
      <c r="V656" s="45"/>
    </row>
    <row r="657">
      <c r="O657" s="41"/>
      <c r="P657" s="45"/>
      <c r="R657" s="45"/>
      <c r="T657" s="45"/>
      <c r="V657" s="45"/>
    </row>
    <row r="658">
      <c r="O658" s="41"/>
      <c r="P658" s="45"/>
      <c r="R658" s="45"/>
      <c r="T658" s="45"/>
      <c r="V658" s="45"/>
    </row>
    <row r="659">
      <c r="O659" s="41"/>
      <c r="P659" s="45"/>
      <c r="R659" s="45"/>
      <c r="T659" s="45"/>
      <c r="V659" s="45"/>
    </row>
    <row r="660">
      <c r="O660" s="41"/>
      <c r="P660" s="45"/>
      <c r="R660" s="45"/>
      <c r="T660" s="45"/>
      <c r="V660" s="45"/>
    </row>
    <row r="661">
      <c r="O661" s="41"/>
      <c r="P661" s="45"/>
      <c r="R661" s="45"/>
      <c r="T661" s="45"/>
      <c r="V661" s="45"/>
    </row>
    <row r="662">
      <c r="O662" s="41"/>
      <c r="P662" s="45"/>
      <c r="R662" s="45"/>
      <c r="T662" s="45"/>
      <c r="V662" s="45"/>
    </row>
    <row r="663">
      <c r="O663" s="41"/>
      <c r="P663" s="45"/>
      <c r="R663" s="45"/>
      <c r="T663" s="45"/>
      <c r="V663" s="45"/>
    </row>
    <row r="664">
      <c r="O664" s="41"/>
      <c r="P664" s="45"/>
      <c r="R664" s="45"/>
      <c r="T664" s="45"/>
      <c r="V664" s="45"/>
    </row>
    <row r="665">
      <c r="O665" s="41"/>
      <c r="P665" s="45"/>
      <c r="R665" s="45"/>
      <c r="T665" s="45"/>
      <c r="V665" s="45"/>
    </row>
    <row r="666">
      <c r="O666" s="41"/>
      <c r="P666" s="45"/>
      <c r="R666" s="45"/>
      <c r="T666" s="45"/>
      <c r="V666" s="45"/>
    </row>
    <row r="667">
      <c r="O667" s="41"/>
      <c r="P667" s="45"/>
      <c r="R667" s="45"/>
      <c r="T667" s="45"/>
      <c r="V667" s="45"/>
    </row>
    <row r="668">
      <c r="O668" s="41"/>
      <c r="P668" s="45"/>
      <c r="R668" s="45"/>
      <c r="T668" s="45"/>
      <c r="V668" s="45"/>
    </row>
    <row r="669">
      <c r="O669" s="41"/>
      <c r="P669" s="45"/>
      <c r="R669" s="45"/>
      <c r="T669" s="45"/>
      <c r="V669" s="45"/>
    </row>
    <row r="670">
      <c r="O670" s="41"/>
      <c r="P670" s="45"/>
      <c r="R670" s="45"/>
      <c r="T670" s="45"/>
      <c r="V670" s="45"/>
    </row>
    <row r="671">
      <c r="O671" s="41"/>
      <c r="P671" s="45"/>
      <c r="R671" s="45"/>
      <c r="T671" s="45"/>
      <c r="V671" s="45"/>
    </row>
    <row r="672">
      <c r="O672" s="41"/>
      <c r="P672" s="45"/>
      <c r="R672" s="45"/>
      <c r="T672" s="45"/>
      <c r="V672" s="45"/>
    </row>
    <row r="673">
      <c r="O673" s="41"/>
      <c r="P673" s="45"/>
      <c r="R673" s="45"/>
      <c r="T673" s="45"/>
      <c r="V673" s="45"/>
    </row>
    <row r="674">
      <c r="O674" s="41"/>
      <c r="P674" s="45"/>
      <c r="R674" s="45"/>
      <c r="T674" s="45"/>
      <c r="V674" s="45"/>
    </row>
    <row r="675">
      <c r="O675" s="41"/>
      <c r="P675" s="45"/>
      <c r="R675" s="45"/>
      <c r="T675" s="45"/>
      <c r="V675" s="45"/>
    </row>
    <row r="676">
      <c r="O676" s="41"/>
      <c r="P676" s="45"/>
      <c r="R676" s="45"/>
      <c r="T676" s="45"/>
      <c r="V676" s="45"/>
    </row>
    <row r="677">
      <c r="O677" s="41"/>
      <c r="P677" s="45"/>
      <c r="R677" s="45"/>
      <c r="T677" s="45"/>
      <c r="V677" s="45"/>
    </row>
    <row r="678">
      <c r="O678" s="41"/>
      <c r="P678" s="45"/>
      <c r="R678" s="45"/>
      <c r="T678" s="45"/>
      <c r="V678" s="45"/>
    </row>
    <row r="679">
      <c r="O679" s="41"/>
      <c r="P679" s="45"/>
      <c r="R679" s="45"/>
      <c r="T679" s="45"/>
      <c r="V679" s="45"/>
    </row>
    <row r="680">
      <c r="O680" s="41"/>
      <c r="P680" s="45"/>
      <c r="R680" s="45"/>
      <c r="T680" s="45"/>
      <c r="V680" s="45"/>
    </row>
    <row r="681">
      <c r="O681" s="41"/>
      <c r="P681" s="45"/>
      <c r="R681" s="45"/>
      <c r="T681" s="45"/>
      <c r="V681" s="45"/>
    </row>
    <row r="682">
      <c r="O682" s="41"/>
      <c r="P682" s="45"/>
      <c r="R682" s="45"/>
      <c r="T682" s="45"/>
      <c r="V682" s="45"/>
    </row>
    <row r="683">
      <c r="O683" s="41"/>
      <c r="P683" s="45"/>
      <c r="R683" s="45"/>
      <c r="T683" s="45"/>
      <c r="V683" s="45"/>
    </row>
    <row r="684">
      <c r="O684" s="41"/>
      <c r="P684" s="45"/>
      <c r="R684" s="45"/>
      <c r="T684" s="45"/>
      <c r="V684" s="45"/>
    </row>
    <row r="685">
      <c r="O685" s="41"/>
      <c r="P685" s="45"/>
      <c r="R685" s="45"/>
      <c r="T685" s="45"/>
      <c r="V685" s="45"/>
    </row>
    <row r="686">
      <c r="O686" s="41"/>
      <c r="P686" s="45"/>
      <c r="R686" s="45"/>
      <c r="T686" s="45"/>
      <c r="V686" s="45"/>
    </row>
    <row r="687">
      <c r="O687" s="41"/>
      <c r="P687" s="45"/>
      <c r="R687" s="45"/>
      <c r="T687" s="45"/>
      <c r="V687" s="45"/>
    </row>
    <row r="688">
      <c r="O688" s="41"/>
      <c r="P688" s="45"/>
      <c r="R688" s="45"/>
      <c r="T688" s="45"/>
      <c r="V688" s="45"/>
    </row>
    <row r="689">
      <c r="O689" s="41"/>
      <c r="P689" s="45"/>
      <c r="R689" s="45"/>
      <c r="T689" s="45"/>
      <c r="V689" s="45"/>
    </row>
    <row r="690">
      <c r="O690" s="41"/>
      <c r="P690" s="45"/>
      <c r="R690" s="45"/>
      <c r="T690" s="45"/>
      <c r="V690" s="45"/>
    </row>
    <row r="691">
      <c r="O691" s="41"/>
      <c r="P691" s="45"/>
      <c r="R691" s="45"/>
      <c r="T691" s="45"/>
      <c r="V691" s="45"/>
    </row>
    <row r="692">
      <c r="O692" s="41"/>
      <c r="P692" s="45"/>
      <c r="R692" s="45"/>
      <c r="T692" s="45"/>
      <c r="V692" s="45"/>
    </row>
    <row r="693">
      <c r="O693" s="41"/>
      <c r="P693" s="45"/>
      <c r="R693" s="45"/>
      <c r="T693" s="45"/>
      <c r="V693" s="45"/>
    </row>
    <row r="694">
      <c r="O694" s="41"/>
      <c r="P694" s="45"/>
      <c r="R694" s="45"/>
      <c r="T694" s="45"/>
      <c r="V694" s="45"/>
    </row>
    <row r="695">
      <c r="O695" s="41"/>
      <c r="P695" s="45"/>
      <c r="R695" s="45"/>
      <c r="T695" s="45"/>
      <c r="V695" s="45"/>
    </row>
    <row r="696">
      <c r="O696" s="41"/>
      <c r="P696" s="45"/>
      <c r="R696" s="45"/>
      <c r="T696" s="45"/>
      <c r="V696" s="45"/>
    </row>
    <row r="697">
      <c r="O697" s="41"/>
      <c r="P697" s="45"/>
      <c r="R697" s="45"/>
      <c r="T697" s="45"/>
      <c r="V697" s="45"/>
    </row>
    <row r="698">
      <c r="O698" s="41"/>
      <c r="P698" s="45"/>
      <c r="R698" s="45"/>
      <c r="T698" s="45"/>
      <c r="V698" s="45"/>
    </row>
    <row r="699">
      <c r="O699" s="41"/>
      <c r="P699" s="45"/>
      <c r="R699" s="45"/>
      <c r="T699" s="45"/>
      <c r="V699" s="45"/>
    </row>
    <row r="700">
      <c r="O700" s="41"/>
      <c r="P700" s="45"/>
      <c r="R700" s="45"/>
      <c r="T700" s="45"/>
      <c r="V700" s="45"/>
    </row>
    <row r="701">
      <c r="O701" s="41"/>
      <c r="P701" s="45"/>
      <c r="R701" s="45"/>
      <c r="T701" s="45"/>
      <c r="V701" s="45"/>
    </row>
    <row r="702">
      <c r="O702" s="41"/>
      <c r="P702" s="45"/>
      <c r="R702" s="45"/>
      <c r="T702" s="45"/>
      <c r="V702" s="45"/>
    </row>
    <row r="703">
      <c r="O703" s="41"/>
      <c r="P703" s="45"/>
      <c r="R703" s="45"/>
      <c r="T703" s="45"/>
      <c r="V703" s="45"/>
    </row>
    <row r="704">
      <c r="O704" s="41"/>
      <c r="P704" s="45"/>
      <c r="R704" s="45"/>
      <c r="T704" s="45"/>
      <c r="V704" s="45"/>
    </row>
    <row r="705">
      <c r="O705" s="41"/>
      <c r="P705" s="45"/>
      <c r="R705" s="45"/>
      <c r="T705" s="45"/>
      <c r="V705" s="45"/>
    </row>
    <row r="706">
      <c r="O706" s="41"/>
      <c r="P706" s="45"/>
      <c r="R706" s="45"/>
      <c r="T706" s="45"/>
      <c r="V706" s="45"/>
    </row>
    <row r="707">
      <c r="O707" s="41"/>
      <c r="P707" s="45"/>
      <c r="R707" s="45"/>
      <c r="T707" s="45"/>
      <c r="V707" s="45"/>
    </row>
    <row r="708">
      <c r="O708" s="41"/>
      <c r="P708" s="45"/>
      <c r="R708" s="45"/>
      <c r="T708" s="45"/>
      <c r="V708" s="45"/>
    </row>
    <row r="709">
      <c r="O709" s="41"/>
      <c r="P709" s="45"/>
      <c r="R709" s="45"/>
      <c r="T709" s="45"/>
      <c r="V709" s="45"/>
    </row>
    <row r="710">
      <c r="O710" s="41"/>
      <c r="P710" s="45"/>
      <c r="R710" s="45"/>
      <c r="T710" s="45"/>
      <c r="V710" s="45"/>
    </row>
    <row r="711">
      <c r="O711" s="41"/>
      <c r="P711" s="45"/>
      <c r="R711" s="45"/>
      <c r="T711" s="45"/>
      <c r="V711" s="45"/>
    </row>
    <row r="712">
      <c r="O712" s="41"/>
      <c r="P712" s="45"/>
      <c r="R712" s="45"/>
      <c r="T712" s="45"/>
      <c r="V712" s="45"/>
    </row>
    <row r="713">
      <c r="O713" s="41"/>
      <c r="P713" s="45"/>
      <c r="R713" s="45"/>
      <c r="T713" s="45"/>
      <c r="V713" s="45"/>
    </row>
    <row r="714">
      <c r="O714" s="41"/>
      <c r="P714" s="45"/>
      <c r="R714" s="45"/>
      <c r="T714" s="45"/>
      <c r="V714" s="45"/>
    </row>
    <row r="715">
      <c r="O715" s="41"/>
      <c r="P715" s="45"/>
      <c r="R715" s="45"/>
      <c r="T715" s="45"/>
      <c r="V715" s="45"/>
    </row>
    <row r="716">
      <c r="O716" s="41"/>
      <c r="P716" s="45"/>
      <c r="R716" s="45"/>
      <c r="T716" s="45"/>
      <c r="V716" s="45"/>
    </row>
    <row r="717">
      <c r="O717" s="41"/>
      <c r="P717" s="45"/>
      <c r="R717" s="45"/>
      <c r="T717" s="45"/>
      <c r="V717" s="45"/>
    </row>
    <row r="718">
      <c r="O718" s="41"/>
      <c r="P718" s="45"/>
      <c r="R718" s="45"/>
      <c r="T718" s="45"/>
      <c r="V718" s="45"/>
    </row>
    <row r="719">
      <c r="O719" s="41"/>
      <c r="P719" s="45"/>
      <c r="R719" s="45"/>
      <c r="T719" s="45"/>
      <c r="V719" s="45"/>
    </row>
    <row r="720">
      <c r="O720" s="41"/>
      <c r="P720" s="45"/>
      <c r="R720" s="45"/>
      <c r="T720" s="45"/>
      <c r="V720" s="45"/>
    </row>
    <row r="721">
      <c r="O721" s="41"/>
      <c r="P721" s="45"/>
      <c r="R721" s="45"/>
      <c r="T721" s="45"/>
      <c r="V721" s="45"/>
    </row>
    <row r="722">
      <c r="O722" s="41"/>
      <c r="P722" s="45"/>
      <c r="R722" s="45"/>
      <c r="T722" s="45"/>
      <c r="V722" s="45"/>
    </row>
    <row r="723">
      <c r="O723" s="41"/>
      <c r="P723" s="45"/>
      <c r="R723" s="45"/>
      <c r="T723" s="45"/>
      <c r="V723" s="45"/>
    </row>
    <row r="724">
      <c r="O724" s="41"/>
      <c r="P724" s="45"/>
      <c r="R724" s="45"/>
      <c r="T724" s="45"/>
      <c r="V724" s="45"/>
    </row>
    <row r="725">
      <c r="O725" s="41"/>
      <c r="P725" s="45"/>
      <c r="R725" s="45"/>
      <c r="T725" s="45"/>
      <c r="V725" s="45"/>
    </row>
    <row r="726">
      <c r="O726" s="41"/>
      <c r="P726" s="45"/>
      <c r="R726" s="45"/>
      <c r="T726" s="45"/>
      <c r="V726" s="45"/>
    </row>
    <row r="727">
      <c r="O727" s="41"/>
      <c r="P727" s="45"/>
      <c r="R727" s="45"/>
      <c r="T727" s="45"/>
      <c r="V727" s="45"/>
    </row>
    <row r="728">
      <c r="O728" s="41"/>
      <c r="P728" s="45"/>
      <c r="R728" s="45"/>
      <c r="T728" s="45"/>
      <c r="V728" s="45"/>
    </row>
    <row r="729">
      <c r="O729" s="41"/>
      <c r="P729" s="45"/>
      <c r="R729" s="45"/>
      <c r="T729" s="45"/>
      <c r="V729" s="45"/>
    </row>
    <row r="730">
      <c r="O730" s="41"/>
      <c r="P730" s="45"/>
      <c r="R730" s="45"/>
      <c r="T730" s="45"/>
      <c r="V730" s="45"/>
    </row>
    <row r="731">
      <c r="O731" s="41"/>
      <c r="P731" s="45"/>
      <c r="R731" s="45"/>
      <c r="T731" s="45"/>
      <c r="V731" s="45"/>
    </row>
    <row r="732">
      <c r="O732" s="41"/>
      <c r="P732" s="45"/>
      <c r="R732" s="45"/>
      <c r="T732" s="45"/>
      <c r="V732" s="45"/>
    </row>
    <row r="733">
      <c r="O733" s="41"/>
      <c r="P733" s="45"/>
      <c r="R733" s="45"/>
      <c r="T733" s="45"/>
      <c r="V733" s="45"/>
    </row>
    <row r="734">
      <c r="O734" s="41"/>
      <c r="P734" s="45"/>
      <c r="R734" s="45"/>
      <c r="T734" s="45"/>
      <c r="V734" s="45"/>
    </row>
    <row r="735">
      <c r="O735" s="41"/>
      <c r="P735" s="45"/>
      <c r="R735" s="45"/>
      <c r="T735" s="45"/>
      <c r="V735" s="45"/>
    </row>
    <row r="736">
      <c r="O736" s="41"/>
      <c r="P736" s="45"/>
      <c r="R736" s="45"/>
      <c r="T736" s="45"/>
      <c r="V736" s="45"/>
    </row>
    <row r="737">
      <c r="O737" s="41"/>
      <c r="P737" s="45"/>
      <c r="R737" s="45"/>
      <c r="T737" s="45"/>
      <c r="V737" s="45"/>
    </row>
    <row r="738">
      <c r="O738" s="41"/>
      <c r="P738" s="45"/>
      <c r="R738" s="45"/>
      <c r="T738" s="45"/>
      <c r="V738" s="45"/>
    </row>
    <row r="739">
      <c r="O739" s="41"/>
      <c r="P739" s="45"/>
      <c r="R739" s="45"/>
      <c r="T739" s="45"/>
      <c r="V739" s="45"/>
    </row>
    <row r="740">
      <c r="O740" s="41"/>
      <c r="P740" s="45"/>
      <c r="R740" s="45"/>
      <c r="T740" s="45"/>
      <c r="V740" s="45"/>
    </row>
    <row r="741">
      <c r="O741" s="41"/>
      <c r="P741" s="45"/>
      <c r="R741" s="45"/>
      <c r="T741" s="45"/>
      <c r="V741" s="45"/>
    </row>
    <row r="742">
      <c r="O742" s="41"/>
      <c r="P742" s="45"/>
      <c r="R742" s="45"/>
      <c r="T742" s="45"/>
      <c r="V742" s="45"/>
    </row>
    <row r="743">
      <c r="O743" s="41"/>
      <c r="P743" s="45"/>
      <c r="R743" s="45"/>
      <c r="T743" s="45"/>
      <c r="V743" s="45"/>
    </row>
    <row r="744">
      <c r="O744" s="41"/>
      <c r="P744" s="45"/>
      <c r="R744" s="45"/>
      <c r="T744" s="45"/>
      <c r="V744" s="45"/>
    </row>
    <row r="745">
      <c r="O745" s="41"/>
      <c r="P745" s="45"/>
      <c r="R745" s="45"/>
      <c r="T745" s="45"/>
      <c r="V745" s="45"/>
    </row>
    <row r="746">
      <c r="O746" s="41"/>
      <c r="P746" s="45"/>
      <c r="R746" s="45"/>
      <c r="T746" s="45"/>
      <c r="V746" s="45"/>
    </row>
    <row r="747">
      <c r="O747" s="41"/>
      <c r="P747" s="45"/>
      <c r="R747" s="45"/>
      <c r="T747" s="45"/>
      <c r="V747" s="45"/>
    </row>
    <row r="748">
      <c r="O748" s="41"/>
      <c r="P748" s="45"/>
      <c r="R748" s="45"/>
      <c r="T748" s="45"/>
      <c r="V748" s="45"/>
    </row>
    <row r="749">
      <c r="O749" s="41"/>
      <c r="P749" s="45"/>
      <c r="R749" s="45"/>
      <c r="T749" s="45"/>
      <c r="V749" s="45"/>
    </row>
    <row r="750">
      <c r="O750" s="41"/>
      <c r="P750" s="45"/>
      <c r="R750" s="45"/>
      <c r="T750" s="45"/>
      <c r="V750" s="45"/>
    </row>
    <row r="751">
      <c r="O751" s="41"/>
      <c r="P751" s="45"/>
      <c r="R751" s="45"/>
      <c r="T751" s="45"/>
      <c r="V751" s="45"/>
    </row>
    <row r="752">
      <c r="O752" s="41"/>
      <c r="P752" s="45"/>
      <c r="R752" s="45"/>
      <c r="T752" s="45"/>
      <c r="V752" s="45"/>
    </row>
    <row r="753">
      <c r="O753" s="41"/>
      <c r="P753" s="45"/>
      <c r="R753" s="45"/>
      <c r="T753" s="45"/>
      <c r="V753" s="45"/>
    </row>
    <row r="754">
      <c r="O754" s="41"/>
      <c r="P754" s="45"/>
      <c r="R754" s="45"/>
      <c r="T754" s="45"/>
      <c r="V754" s="45"/>
    </row>
    <row r="755">
      <c r="O755" s="41"/>
      <c r="P755" s="45"/>
      <c r="R755" s="45"/>
      <c r="T755" s="45"/>
      <c r="V755" s="45"/>
    </row>
    <row r="756">
      <c r="O756" s="41"/>
      <c r="P756" s="45"/>
      <c r="R756" s="45"/>
      <c r="T756" s="45"/>
      <c r="V756" s="45"/>
    </row>
    <row r="757">
      <c r="O757" s="41"/>
      <c r="P757" s="45"/>
      <c r="R757" s="45"/>
      <c r="T757" s="45"/>
      <c r="V757" s="45"/>
    </row>
    <row r="758">
      <c r="O758" s="41"/>
      <c r="P758" s="45"/>
      <c r="R758" s="45"/>
      <c r="T758" s="45"/>
      <c r="V758" s="45"/>
    </row>
    <row r="759">
      <c r="O759" s="41"/>
      <c r="P759" s="45"/>
      <c r="R759" s="45"/>
      <c r="T759" s="45"/>
      <c r="V759" s="45"/>
    </row>
    <row r="760">
      <c r="O760" s="41"/>
      <c r="P760" s="45"/>
      <c r="R760" s="45"/>
      <c r="T760" s="45"/>
      <c r="V760" s="45"/>
    </row>
    <row r="761">
      <c r="O761" s="41"/>
      <c r="P761" s="45"/>
      <c r="R761" s="45"/>
      <c r="T761" s="45"/>
      <c r="V761" s="45"/>
    </row>
    <row r="762">
      <c r="O762" s="41"/>
      <c r="P762" s="45"/>
      <c r="R762" s="45"/>
      <c r="T762" s="45"/>
      <c r="V762" s="45"/>
    </row>
    <row r="763">
      <c r="O763" s="41"/>
      <c r="P763" s="45"/>
      <c r="R763" s="45"/>
      <c r="T763" s="45"/>
      <c r="V763" s="45"/>
    </row>
    <row r="764">
      <c r="O764" s="41"/>
      <c r="P764" s="45"/>
      <c r="R764" s="45"/>
      <c r="T764" s="45"/>
      <c r="V764" s="45"/>
    </row>
    <row r="765">
      <c r="O765" s="41"/>
      <c r="P765" s="45"/>
      <c r="R765" s="45"/>
      <c r="T765" s="45"/>
      <c r="V765" s="45"/>
    </row>
    <row r="766">
      <c r="O766" s="41"/>
      <c r="P766" s="45"/>
      <c r="R766" s="45"/>
      <c r="T766" s="45"/>
      <c r="V766" s="45"/>
    </row>
    <row r="767">
      <c r="O767" s="41"/>
      <c r="P767" s="45"/>
      <c r="R767" s="45"/>
      <c r="T767" s="45"/>
      <c r="V767" s="45"/>
    </row>
    <row r="768">
      <c r="O768" s="41"/>
      <c r="P768" s="45"/>
      <c r="R768" s="45"/>
      <c r="T768" s="45"/>
      <c r="V768" s="45"/>
    </row>
    <row r="769">
      <c r="O769" s="41"/>
      <c r="P769" s="45"/>
      <c r="R769" s="45"/>
      <c r="T769" s="45"/>
      <c r="V769" s="45"/>
    </row>
    <row r="770">
      <c r="O770" s="41"/>
      <c r="P770" s="45"/>
      <c r="R770" s="45"/>
      <c r="T770" s="45"/>
      <c r="V770" s="45"/>
    </row>
    <row r="771">
      <c r="O771" s="41"/>
      <c r="P771" s="45"/>
      <c r="R771" s="45"/>
      <c r="T771" s="45"/>
      <c r="V771" s="45"/>
    </row>
    <row r="772">
      <c r="O772" s="41"/>
      <c r="P772" s="45"/>
      <c r="R772" s="45"/>
      <c r="T772" s="45"/>
      <c r="V772" s="45"/>
    </row>
    <row r="773">
      <c r="O773" s="41"/>
      <c r="P773" s="45"/>
      <c r="R773" s="45"/>
      <c r="T773" s="45"/>
      <c r="V773" s="45"/>
    </row>
    <row r="774">
      <c r="O774" s="41"/>
      <c r="P774" s="45"/>
      <c r="R774" s="45"/>
      <c r="T774" s="45"/>
      <c r="V774" s="45"/>
    </row>
    <row r="775">
      <c r="O775" s="41"/>
      <c r="P775" s="45"/>
      <c r="R775" s="45"/>
      <c r="T775" s="45"/>
      <c r="V775" s="45"/>
    </row>
    <row r="776">
      <c r="O776" s="41"/>
      <c r="P776" s="45"/>
      <c r="R776" s="45"/>
      <c r="T776" s="45"/>
      <c r="V776" s="45"/>
    </row>
    <row r="777">
      <c r="O777" s="41"/>
      <c r="P777" s="45"/>
      <c r="R777" s="45"/>
      <c r="T777" s="45"/>
      <c r="V777" s="45"/>
    </row>
    <row r="778">
      <c r="O778" s="41"/>
      <c r="P778" s="45"/>
      <c r="R778" s="45"/>
      <c r="T778" s="45"/>
      <c r="V778" s="45"/>
    </row>
    <row r="779">
      <c r="O779" s="41"/>
      <c r="P779" s="45"/>
      <c r="R779" s="45"/>
      <c r="T779" s="45"/>
      <c r="V779" s="45"/>
    </row>
    <row r="780">
      <c r="O780" s="41"/>
      <c r="P780" s="45"/>
      <c r="R780" s="45"/>
      <c r="T780" s="45"/>
      <c r="V780" s="45"/>
    </row>
    <row r="781">
      <c r="O781" s="41"/>
      <c r="P781" s="45"/>
      <c r="R781" s="45"/>
      <c r="T781" s="45"/>
      <c r="V781" s="45"/>
    </row>
    <row r="782">
      <c r="O782" s="41"/>
      <c r="P782" s="45"/>
      <c r="R782" s="45"/>
      <c r="T782" s="45"/>
      <c r="V782" s="45"/>
    </row>
    <row r="783">
      <c r="O783" s="41"/>
      <c r="P783" s="45"/>
      <c r="R783" s="45"/>
      <c r="T783" s="45"/>
      <c r="V783" s="45"/>
    </row>
    <row r="784">
      <c r="O784" s="41"/>
      <c r="P784" s="45"/>
      <c r="R784" s="45"/>
      <c r="T784" s="45"/>
      <c r="V784" s="45"/>
    </row>
    <row r="785">
      <c r="O785" s="41"/>
      <c r="P785" s="45"/>
      <c r="R785" s="45"/>
      <c r="T785" s="45"/>
      <c r="V785" s="45"/>
    </row>
    <row r="786">
      <c r="O786" s="41"/>
      <c r="P786" s="45"/>
      <c r="R786" s="45"/>
      <c r="T786" s="45"/>
      <c r="V786" s="45"/>
    </row>
    <row r="787">
      <c r="O787" s="41"/>
      <c r="P787" s="45"/>
      <c r="R787" s="45"/>
      <c r="T787" s="45"/>
      <c r="V787" s="45"/>
    </row>
    <row r="788">
      <c r="O788" s="41"/>
      <c r="P788" s="45"/>
      <c r="R788" s="45"/>
      <c r="T788" s="45"/>
      <c r="V788" s="45"/>
    </row>
    <row r="789">
      <c r="O789" s="41"/>
      <c r="P789" s="45"/>
      <c r="R789" s="45"/>
      <c r="T789" s="45"/>
      <c r="V789" s="45"/>
    </row>
    <row r="790">
      <c r="O790" s="41"/>
      <c r="P790" s="45"/>
      <c r="R790" s="45"/>
      <c r="T790" s="45"/>
      <c r="V790" s="45"/>
    </row>
    <row r="791">
      <c r="O791" s="41"/>
      <c r="P791" s="45"/>
      <c r="R791" s="45"/>
      <c r="T791" s="45"/>
      <c r="V791" s="45"/>
    </row>
    <row r="792">
      <c r="O792" s="41"/>
      <c r="P792" s="45"/>
      <c r="R792" s="45"/>
      <c r="T792" s="45"/>
      <c r="V792" s="45"/>
    </row>
    <row r="793">
      <c r="O793" s="41"/>
      <c r="P793" s="45"/>
      <c r="R793" s="45"/>
      <c r="T793" s="45"/>
      <c r="V793" s="45"/>
    </row>
    <row r="794">
      <c r="O794" s="41"/>
      <c r="P794" s="45"/>
      <c r="R794" s="45"/>
      <c r="T794" s="45"/>
      <c r="V794" s="45"/>
    </row>
    <row r="795">
      <c r="O795" s="41"/>
      <c r="P795" s="45"/>
      <c r="R795" s="45"/>
      <c r="T795" s="45"/>
      <c r="V795" s="45"/>
    </row>
    <row r="796">
      <c r="O796" s="41"/>
      <c r="P796" s="45"/>
      <c r="R796" s="45"/>
      <c r="T796" s="45"/>
      <c r="V796" s="45"/>
    </row>
    <row r="797">
      <c r="O797" s="41"/>
      <c r="P797" s="45"/>
      <c r="R797" s="45"/>
      <c r="T797" s="45"/>
      <c r="V797" s="45"/>
    </row>
    <row r="798">
      <c r="O798" s="41"/>
      <c r="P798" s="45"/>
      <c r="R798" s="45"/>
      <c r="T798" s="45"/>
      <c r="V798" s="45"/>
    </row>
    <row r="799">
      <c r="O799" s="41"/>
      <c r="P799" s="45"/>
      <c r="R799" s="45"/>
      <c r="T799" s="45"/>
      <c r="V799" s="45"/>
    </row>
    <row r="800">
      <c r="O800" s="41"/>
      <c r="P800" s="45"/>
      <c r="R800" s="45"/>
      <c r="T800" s="45"/>
      <c r="V800" s="45"/>
    </row>
    <row r="801">
      <c r="O801" s="41"/>
      <c r="P801" s="45"/>
      <c r="R801" s="45"/>
      <c r="T801" s="45"/>
      <c r="V801" s="45"/>
    </row>
    <row r="802">
      <c r="O802" s="41"/>
      <c r="P802" s="45"/>
      <c r="R802" s="45"/>
      <c r="T802" s="45"/>
      <c r="V802" s="45"/>
    </row>
    <row r="803">
      <c r="O803" s="41"/>
      <c r="P803" s="45"/>
      <c r="R803" s="45"/>
      <c r="T803" s="45"/>
      <c r="V803" s="45"/>
    </row>
    <row r="804">
      <c r="O804" s="41"/>
      <c r="P804" s="45"/>
      <c r="R804" s="45"/>
      <c r="T804" s="45"/>
      <c r="V804" s="45"/>
    </row>
    <row r="805">
      <c r="O805" s="41"/>
      <c r="P805" s="45"/>
      <c r="R805" s="45"/>
      <c r="T805" s="45"/>
      <c r="V805" s="45"/>
    </row>
    <row r="806">
      <c r="O806" s="41"/>
      <c r="P806" s="45"/>
      <c r="R806" s="45"/>
      <c r="T806" s="45"/>
      <c r="V806" s="45"/>
    </row>
    <row r="807">
      <c r="O807" s="41"/>
      <c r="P807" s="45"/>
      <c r="R807" s="45"/>
      <c r="T807" s="45"/>
      <c r="V807" s="45"/>
    </row>
    <row r="808">
      <c r="O808" s="41"/>
      <c r="P808" s="45"/>
      <c r="R808" s="45"/>
      <c r="T808" s="45"/>
      <c r="V808" s="45"/>
    </row>
    <row r="809">
      <c r="O809" s="41"/>
      <c r="P809" s="45"/>
      <c r="R809" s="45"/>
      <c r="T809" s="45"/>
      <c r="V809" s="45"/>
    </row>
    <row r="810">
      <c r="O810" s="41"/>
      <c r="P810" s="45"/>
      <c r="R810" s="45"/>
      <c r="T810" s="45"/>
      <c r="V810" s="45"/>
    </row>
    <row r="811">
      <c r="O811" s="41"/>
      <c r="P811" s="45"/>
      <c r="R811" s="45"/>
      <c r="T811" s="45"/>
      <c r="V811" s="45"/>
    </row>
    <row r="812">
      <c r="O812" s="41"/>
      <c r="P812" s="45"/>
      <c r="R812" s="45"/>
      <c r="T812" s="45"/>
      <c r="V812" s="45"/>
    </row>
    <row r="813">
      <c r="O813" s="41"/>
      <c r="P813" s="45"/>
      <c r="R813" s="45"/>
      <c r="T813" s="45"/>
      <c r="V813" s="45"/>
    </row>
    <row r="814">
      <c r="O814" s="41"/>
      <c r="P814" s="45"/>
      <c r="R814" s="45"/>
      <c r="T814" s="45"/>
      <c r="V814" s="45"/>
    </row>
    <row r="815">
      <c r="O815" s="41"/>
      <c r="P815" s="45"/>
      <c r="R815" s="45"/>
      <c r="T815" s="45"/>
      <c r="V815" s="45"/>
    </row>
    <row r="816">
      <c r="O816" s="41"/>
      <c r="P816" s="45"/>
      <c r="R816" s="45"/>
      <c r="T816" s="45"/>
      <c r="V816" s="45"/>
    </row>
    <row r="817">
      <c r="O817" s="41"/>
      <c r="P817" s="45"/>
      <c r="R817" s="45"/>
      <c r="T817" s="45"/>
      <c r="V817" s="45"/>
    </row>
    <row r="818">
      <c r="O818" s="41"/>
      <c r="P818" s="45"/>
      <c r="R818" s="45"/>
      <c r="T818" s="45"/>
      <c r="V818" s="45"/>
    </row>
    <row r="819">
      <c r="O819" s="41"/>
      <c r="P819" s="45"/>
      <c r="R819" s="45"/>
      <c r="T819" s="45"/>
      <c r="V819" s="45"/>
    </row>
    <row r="820">
      <c r="O820" s="41"/>
      <c r="P820" s="45"/>
      <c r="R820" s="45"/>
      <c r="T820" s="45"/>
      <c r="V820" s="45"/>
    </row>
    <row r="821">
      <c r="O821" s="41"/>
      <c r="P821" s="45"/>
      <c r="R821" s="45"/>
      <c r="T821" s="45"/>
      <c r="V821" s="45"/>
    </row>
    <row r="822">
      <c r="O822" s="41"/>
      <c r="P822" s="45"/>
      <c r="R822" s="45"/>
      <c r="T822" s="45"/>
      <c r="V822" s="45"/>
    </row>
    <row r="823">
      <c r="O823" s="41"/>
      <c r="P823" s="45"/>
      <c r="R823" s="45"/>
      <c r="T823" s="45"/>
      <c r="V823" s="45"/>
    </row>
    <row r="824">
      <c r="O824" s="41"/>
      <c r="P824" s="45"/>
      <c r="R824" s="45"/>
      <c r="T824" s="45"/>
      <c r="V824" s="45"/>
    </row>
    <row r="825">
      <c r="O825" s="41"/>
      <c r="P825" s="45"/>
      <c r="R825" s="45"/>
      <c r="T825" s="45"/>
      <c r="V825" s="45"/>
    </row>
    <row r="826">
      <c r="O826" s="41"/>
      <c r="P826" s="45"/>
      <c r="R826" s="45"/>
      <c r="T826" s="45"/>
      <c r="V826" s="45"/>
    </row>
    <row r="827">
      <c r="O827" s="41"/>
      <c r="P827" s="45"/>
      <c r="R827" s="45"/>
      <c r="T827" s="45"/>
      <c r="V827" s="45"/>
    </row>
    <row r="828">
      <c r="O828" s="41"/>
      <c r="P828" s="45"/>
      <c r="R828" s="45"/>
      <c r="T828" s="45"/>
      <c r="V828" s="45"/>
    </row>
    <row r="829">
      <c r="O829" s="41"/>
      <c r="P829" s="45"/>
      <c r="R829" s="45"/>
      <c r="T829" s="45"/>
      <c r="V829" s="45"/>
    </row>
    <row r="830">
      <c r="O830" s="41"/>
      <c r="P830" s="45"/>
      <c r="R830" s="45"/>
      <c r="T830" s="45"/>
      <c r="V830" s="45"/>
    </row>
    <row r="831">
      <c r="O831" s="41"/>
      <c r="P831" s="45"/>
      <c r="R831" s="45"/>
      <c r="T831" s="45"/>
      <c r="V831" s="45"/>
    </row>
    <row r="832">
      <c r="O832" s="41"/>
      <c r="P832" s="45"/>
      <c r="R832" s="45"/>
      <c r="T832" s="45"/>
      <c r="V832" s="45"/>
    </row>
    <row r="833">
      <c r="O833" s="41"/>
      <c r="P833" s="45"/>
      <c r="R833" s="45"/>
      <c r="T833" s="45"/>
      <c r="V833" s="45"/>
    </row>
    <row r="834">
      <c r="O834" s="41"/>
      <c r="P834" s="45"/>
      <c r="R834" s="45"/>
      <c r="T834" s="45"/>
      <c r="V834" s="45"/>
    </row>
    <row r="835">
      <c r="O835" s="41"/>
      <c r="P835" s="45"/>
      <c r="R835" s="45"/>
      <c r="T835" s="45"/>
      <c r="V835" s="45"/>
    </row>
    <row r="836">
      <c r="O836" s="41"/>
      <c r="P836" s="45"/>
      <c r="R836" s="45"/>
      <c r="T836" s="45"/>
      <c r="V836" s="45"/>
    </row>
    <row r="837">
      <c r="O837" s="41"/>
      <c r="P837" s="45"/>
      <c r="R837" s="45"/>
      <c r="T837" s="45"/>
      <c r="V837" s="45"/>
    </row>
    <row r="838">
      <c r="O838" s="41"/>
      <c r="P838" s="45"/>
      <c r="R838" s="45"/>
      <c r="T838" s="45"/>
      <c r="V838" s="45"/>
    </row>
    <row r="839">
      <c r="O839" s="41"/>
      <c r="P839" s="45"/>
      <c r="R839" s="45"/>
      <c r="T839" s="45"/>
      <c r="V839" s="45"/>
    </row>
    <row r="840">
      <c r="O840" s="41"/>
      <c r="P840" s="45"/>
      <c r="R840" s="45"/>
      <c r="T840" s="45"/>
      <c r="V840" s="45"/>
    </row>
    <row r="841">
      <c r="O841" s="41"/>
      <c r="P841" s="45"/>
      <c r="R841" s="45"/>
      <c r="T841" s="45"/>
      <c r="V841" s="45"/>
    </row>
    <row r="842">
      <c r="O842" s="41"/>
      <c r="P842" s="45"/>
      <c r="R842" s="45"/>
      <c r="T842" s="45"/>
      <c r="V842" s="45"/>
    </row>
    <row r="843">
      <c r="O843" s="41"/>
      <c r="P843" s="45"/>
      <c r="R843" s="45"/>
      <c r="T843" s="45"/>
      <c r="V843" s="45"/>
    </row>
    <row r="844">
      <c r="O844" s="41"/>
      <c r="P844" s="45"/>
      <c r="R844" s="45"/>
      <c r="T844" s="45"/>
      <c r="V844" s="45"/>
    </row>
    <row r="845">
      <c r="O845" s="41"/>
      <c r="P845" s="45"/>
      <c r="R845" s="45"/>
      <c r="T845" s="45"/>
      <c r="V845" s="45"/>
    </row>
    <row r="846">
      <c r="O846" s="41"/>
      <c r="P846" s="45"/>
      <c r="R846" s="45"/>
      <c r="T846" s="45"/>
      <c r="V846" s="45"/>
    </row>
    <row r="847">
      <c r="O847" s="41"/>
      <c r="P847" s="45"/>
      <c r="R847" s="45"/>
      <c r="T847" s="45"/>
      <c r="V847" s="45"/>
    </row>
    <row r="848">
      <c r="O848" s="41"/>
      <c r="P848" s="45"/>
      <c r="R848" s="45"/>
      <c r="T848" s="45"/>
      <c r="V848" s="45"/>
    </row>
    <row r="849">
      <c r="O849" s="41"/>
      <c r="P849" s="45"/>
      <c r="R849" s="45"/>
      <c r="T849" s="45"/>
      <c r="V849" s="45"/>
    </row>
    <row r="850">
      <c r="O850" s="41"/>
      <c r="P850" s="45"/>
      <c r="R850" s="45"/>
      <c r="T850" s="45"/>
      <c r="V850" s="45"/>
    </row>
    <row r="851">
      <c r="O851" s="41"/>
      <c r="P851" s="45"/>
      <c r="R851" s="45"/>
      <c r="T851" s="45"/>
      <c r="V851" s="45"/>
    </row>
    <row r="852">
      <c r="O852" s="41"/>
      <c r="P852" s="45"/>
      <c r="R852" s="45"/>
      <c r="T852" s="45"/>
      <c r="V852" s="45"/>
    </row>
    <row r="853">
      <c r="O853" s="41"/>
      <c r="P853" s="45"/>
      <c r="R853" s="45"/>
      <c r="T853" s="45"/>
      <c r="V853" s="45"/>
    </row>
    <row r="854">
      <c r="O854" s="41"/>
      <c r="P854" s="45"/>
      <c r="R854" s="45"/>
      <c r="T854" s="45"/>
      <c r="V854" s="45"/>
    </row>
    <row r="855">
      <c r="O855" s="41"/>
      <c r="P855" s="45"/>
      <c r="R855" s="45"/>
      <c r="T855" s="45"/>
      <c r="V855" s="45"/>
    </row>
    <row r="856">
      <c r="O856" s="41"/>
      <c r="P856" s="45"/>
      <c r="R856" s="45"/>
      <c r="T856" s="45"/>
      <c r="V856" s="45"/>
    </row>
    <row r="857">
      <c r="O857" s="41"/>
      <c r="P857" s="45"/>
      <c r="R857" s="45"/>
      <c r="T857" s="45"/>
      <c r="V857" s="45"/>
    </row>
    <row r="858">
      <c r="O858" s="41"/>
      <c r="P858" s="45"/>
      <c r="R858" s="45"/>
      <c r="T858" s="45"/>
      <c r="V858" s="45"/>
    </row>
    <row r="859">
      <c r="O859" s="41"/>
      <c r="P859" s="45"/>
      <c r="R859" s="45"/>
      <c r="T859" s="45"/>
      <c r="V859" s="45"/>
    </row>
    <row r="860">
      <c r="O860" s="41"/>
      <c r="P860" s="45"/>
      <c r="R860" s="45"/>
      <c r="T860" s="45"/>
      <c r="V860" s="45"/>
    </row>
    <row r="861">
      <c r="O861" s="41"/>
      <c r="P861" s="45"/>
      <c r="R861" s="45"/>
      <c r="T861" s="45"/>
      <c r="V861" s="45"/>
    </row>
    <row r="862">
      <c r="O862" s="41"/>
      <c r="P862" s="45"/>
      <c r="R862" s="45"/>
      <c r="T862" s="45"/>
      <c r="V862" s="45"/>
    </row>
    <row r="863">
      <c r="O863" s="41"/>
      <c r="P863" s="45"/>
      <c r="R863" s="45"/>
      <c r="T863" s="45"/>
      <c r="V863" s="45"/>
    </row>
    <row r="864">
      <c r="O864" s="41"/>
      <c r="P864" s="45"/>
      <c r="R864" s="45"/>
      <c r="T864" s="45"/>
      <c r="V864" s="45"/>
    </row>
    <row r="865">
      <c r="O865" s="41"/>
      <c r="P865" s="45"/>
      <c r="R865" s="45"/>
      <c r="T865" s="45"/>
      <c r="V865" s="45"/>
    </row>
    <row r="866">
      <c r="O866" s="41"/>
      <c r="P866" s="45"/>
      <c r="R866" s="45"/>
      <c r="T866" s="45"/>
      <c r="V866" s="45"/>
    </row>
    <row r="867">
      <c r="O867" s="41"/>
      <c r="P867" s="45"/>
      <c r="R867" s="45"/>
      <c r="T867" s="45"/>
      <c r="V867" s="45"/>
    </row>
    <row r="868">
      <c r="O868" s="41"/>
      <c r="P868" s="45"/>
      <c r="R868" s="45"/>
      <c r="T868" s="45"/>
      <c r="V868" s="45"/>
    </row>
    <row r="869">
      <c r="O869" s="41"/>
      <c r="P869" s="45"/>
      <c r="R869" s="45"/>
      <c r="T869" s="45"/>
      <c r="V869" s="45"/>
    </row>
    <row r="870">
      <c r="O870" s="41"/>
      <c r="P870" s="45"/>
      <c r="R870" s="45"/>
      <c r="T870" s="45"/>
      <c r="V870" s="45"/>
    </row>
    <row r="871">
      <c r="O871" s="41"/>
      <c r="P871" s="45"/>
      <c r="R871" s="45"/>
      <c r="T871" s="45"/>
      <c r="V871" s="45"/>
    </row>
    <row r="872">
      <c r="O872" s="41"/>
      <c r="P872" s="45"/>
      <c r="R872" s="45"/>
      <c r="T872" s="45"/>
      <c r="V872" s="45"/>
    </row>
    <row r="873">
      <c r="O873" s="41"/>
      <c r="P873" s="45"/>
      <c r="R873" s="45"/>
      <c r="T873" s="45"/>
      <c r="V873" s="45"/>
    </row>
    <row r="874">
      <c r="O874" s="41"/>
      <c r="P874" s="45"/>
      <c r="R874" s="45"/>
      <c r="T874" s="45"/>
      <c r="V874" s="45"/>
    </row>
    <row r="875">
      <c r="O875" s="41"/>
      <c r="P875" s="45"/>
      <c r="R875" s="45"/>
      <c r="T875" s="45"/>
      <c r="V875" s="45"/>
    </row>
    <row r="876">
      <c r="O876" s="41"/>
      <c r="P876" s="45"/>
      <c r="R876" s="45"/>
      <c r="T876" s="45"/>
      <c r="V876" s="45"/>
    </row>
    <row r="877">
      <c r="O877" s="41"/>
      <c r="P877" s="45"/>
      <c r="R877" s="45"/>
      <c r="T877" s="45"/>
      <c r="V877" s="45"/>
    </row>
    <row r="878">
      <c r="O878" s="41"/>
      <c r="P878" s="45"/>
      <c r="R878" s="45"/>
      <c r="T878" s="45"/>
      <c r="V878" s="45"/>
    </row>
    <row r="879">
      <c r="O879" s="41"/>
      <c r="P879" s="45"/>
      <c r="R879" s="45"/>
      <c r="T879" s="45"/>
      <c r="V879" s="45"/>
    </row>
    <row r="880">
      <c r="O880" s="41"/>
      <c r="P880" s="45"/>
      <c r="R880" s="45"/>
      <c r="T880" s="45"/>
      <c r="V880" s="45"/>
    </row>
    <row r="881">
      <c r="O881" s="41"/>
      <c r="P881" s="45"/>
      <c r="R881" s="45"/>
      <c r="T881" s="45"/>
      <c r="V881" s="45"/>
    </row>
    <row r="882">
      <c r="O882" s="41"/>
      <c r="P882" s="45"/>
      <c r="R882" s="45"/>
      <c r="T882" s="45"/>
      <c r="V882" s="45"/>
    </row>
    <row r="883">
      <c r="O883" s="41"/>
      <c r="P883" s="45"/>
      <c r="R883" s="45"/>
      <c r="T883" s="45"/>
      <c r="V883" s="45"/>
    </row>
    <row r="884">
      <c r="O884" s="41"/>
      <c r="P884" s="45"/>
      <c r="R884" s="45"/>
      <c r="T884" s="45"/>
      <c r="V884" s="45"/>
    </row>
    <row r="885">
      <c r="O885" s="41"/>
      <c r="P885" s="45"/>
      <c r="R885" s="45"/>
      <c r="T885" s="45"/>
      <c r="V885" s="45"/>
    </row>
    <row r="886">
      <c r="O886" s="41"/>
      <c r="P886" s="45"/>
      <c r="R886" s="45"/>
      <c r="T886" s="45"/>
      <c r="V886" s="45"/>
    </row>
    <row r="887">
      <c r="O887" s="41"/>
      <c r="P887" s="45"/>
      <c r="R887" s="45"/>
      <c r="T887" s="45"/>
      <c r="V887" s="45"/>
    </row>
    <row r="888">
      <c r="O888" s="41"/>
      <c r="P888" s="45"/>
      <c r="R888" s="45"/>
      <c r="T888" s="45"/>
      <c r="V888" s="45"/>
    </row>
    <row r="889">
      <c r="O889" s="41"/>
      <c r="P889" s="45"/>
      <c r="R889" s="45"/>
      <c r="T889" s="45"/>
      <c r="V889" s="45"/>
    </row>
    <row r="890">
      <c r="O890" s="41"/>
      <c r="P890" s="45"/>
      <c r="R890" s="45"/>
      <c r="T890" s="45"/>
      <c r="V890" s="45"/>
    </row>
    <row r="891">
      <c r="O891" s="41"/>
      <c r="P891" s="45"/>
      <c r="R891" s="45"/>
      <c r="T891" s="45"/>
      <c r="V891" s="45"/>
    </row>
    <row r="892">
      <c r="O892" s="41"/>
      <c r="P892" s="45"/>
      <c r="R892" s="45"/>
      <c r="T892" s="45"/>
      <c r="V892" s="45"/>
    </row>
    <row r="893">
      <c r="O893" s="41"/>
      <c r="P893" s="45"/>
      <c r="R893" s="45"/>
      <c r="T893" s="45"/>
      <c r="V893" s="45"/>
    </row>
    <row r="894">
      <c r="O894" s="41"/>
      <c r="P894" s="45"/>
      <c r="R894" s="45"/>
      <c r="T894" s="45"/>
      <c r="V894" s="45"/>
    </row>
    <row r="895">
      <c r="O895" s="41"/>
      <c r="P895" s="45"/>
      <c r="R895" s="45"/>
      <c r="T895" s="45"/>
      <c r="V895" s="45"/>
    </row>
    <row r="896">
      <c r="O896" s="41"/>
      <c r="P896" s="45"/>
      <c r="R896" s="45"/>
      <c r="T896" s="45"/>
      <c r="V896" s="45"/>
    </row>
    <row r="897">
      <c r="O897" s="41"/>
      <c r="P897" s="45"/>
      <c r="R897" s="45"/>
      <c r="T897" s="45"/>
      <c r="V897" s="45"/>
    </row>
    <row r="898">
      <c r="O898" s="41"/>
      <c r="P898" s="45"/>
      <c r="R898" s="45"/>
      <c r="T898" s="45"/>
      <c r="V898" s="45"/>
    </row>
    <row r="899">
      <c r="O899" s="41"/>
      <c r="P899" s="45"/>
      <c r="R899" s="45"/>
      <c r="T899" s="45"/>
      <c r="V899" s="45"/>
    </row>
    <row r="900">
      <c r="O900" s="41"/>
      <c r="P900" s="45"/>
      <c r="R900" s="45"/>
      <c r="T900" s="45"/>
      <c r="V900" s="45"/>
    </row>
    <row r="901">
      <c r="O901" s="41"/>
      <c r="P901" s="45"/>
      <c r="R901" s="45"/>
      <c r="T901" s="45"/>
      <c r="V901" s="45"/>
    </row>
    <row r="902">
      <c r="O902" s="41"/>
      <c r="P902" s="45"/>
      <c r="R902" s="45"/>
      <c r="T902" s="45"/>
      <c r="V902" s="45"/>
    </row>
    <row r="903">
      <c r="O903" s="41"/>
      <c r="P903" s="45"/>
      <c r="R903" s="45"/>
      <c r="T903" s="45"/>
      <c r="V903" s="45"/>
    </row>
    <row r="904">
      <c r="O904" s="41"/>
      <c r="P904" s="45"/>
      <c r="R904" s="45"/>
      <c r="T904" s="45"/>
      <c r="V904" s="45"/>
    </row>
    <row r="905">
      <c r="O905" s="41"/>
      <c r="P905" s="45"/>
      <c r="R905" s="45"/>
      <c r="T905" s="45"/>
      <c r="V905" s="45"/>
    </row>
    <row r="906">
      <c r="O906" s="41"/>
      <c r="P906" s="45"/>
      <c r="R906" s="45"/>
      <c r="T906" s="45"/>
      <c r="V906" s="45"/>
    </row>
    <row r="907">
      <c r="O907" s="41"/>
      <c r="P907" s="45"/>
      <c r="R907" s="45"/>
      <c r="T907" s="45"/>
      <c r="V907" s="45"/>
    </row>
    <row r="908">
      <c r="O908" s="41"/>
      <c r="P908" s="45"/>
      <c r="R908" s="45"/>
      <c r="T908" s="45"/>
      <c r="V908" s="45"/>
    </row>
    <row r="909">
      <c r="O909" s="41"/>
      <c r="P909" s="45"/>
      <c r="R909" s="45"/>
      <c r="T909" s="45"/>
      <c r="V909" s="45"/>
    </row>
    <row r="910">
      <c r="O910" s="41"/>
      <c r="P910" s="45"/>
      <c r="R910" s="45"/>
      <c r="T910" s="45"/>
      <c r="V910" s="45"/>
    </row>
    <row r="911">
      <c r="O911" s="41"/>
      <c r="P911" s="45"/>
      <c r="R911" s="45"/>
      <c r="T911" s="45"/>
      <c r="V911" s="45"/>
    </row>
    <row r="912">
      <c r="O912" s="41"/>
      <c r="P912" s="45"/>
      <c r="R912" s="45"/>
      <c r="T912" s="45"/>
      <c r="V912" s="45"/>
    </row>
    <row r="913">
      <c r="O913" s="41"/>
      <c r="P913" s="45"/>
      <c r="R913" s="45"/>
      <c r="T913" s="45"/>
      <c r="V913" s="45"/>
    </row>
    <row r="914">
      <c r="O914" s="41"/>
      <c r="P914" s="45"/>
      <c r="R914" s="45"/>
      <c r="T914" s="45"/>
      <c r="V914" s="45"/>
    </row>
    <row r="915">
      <c r="O915" s="41"/>
      <c r="P915" s="45"/>
      <c r="R915" s="45"/>
      <c r="T915" s="45"/>
      <c r="V915" s="45"/>
    </row>
    <row r="916">
      <c r="O916" s="41"/>
      <c r="P916" s="45"/>
      <c r="R916" s="45"/>
      <c r="T916" s="45"/>
      <c r="V916" s="45"/>
    </row>
    <row r="917">
      <c r="O917" s="41"/>
      <c r="P917" s="45"/>
      <c r="R917" s="45"/>
      <c r="T917" s="45"/>
      <c r="V917" s="45"/>
    </row>
    <row r="918">
      <c r="O918" s="41"/>
      <c r="P918" s="45"/>
      <c r="R918" s="45"/>
      <c r="T918" s="45"/>
      <c r="V918" s="45"/>
    </row>
    <row r="919">
      <c r="O919" s="41"/>
      <c r="P919" s="45"/>
      <c r="R919" s="45"/>
      <c r="T919" s="45"/>
      <c r="V919" s="45"/>
    </row>
    <row r="920">
      <c r="O920" s="41"/>
      <c r="P920" s="45"/>
      <c r="R920" s="45"/>
      <c r="T920" s="45"/>
      <c r="V920" s="45"/>
    </row>
    <row r="921">
      <c r="O921" s="41"/>
      <c r="P921" s="45"/>
      <c r="R921" s="45"/>
      <c r="T921" s="45"/>
      <c r="V921" s="45"/>
    </row>
    <row r="922">
      <c r="O922" s="41"/>
      <c r="P922" s="45"/>
      <c r="R922" s="45"/>
      <c r="T922" s="45"/>
      <c r="V922" s="45"/>
    </row>
    <row r="923">
      <c r="O923" s="41"/>
      <c r="P923" s="45"/>
      <c r="R923" s="45"/>
      <c r="T923" s="45"/>
      <c r="V923" s="45"/>
    </row>
    <row r="924">
      <c r="O924" s="41"/>
      <c r="P924" s="45"/>
      <c r="R924" s="45"/>
      <c r="T924" s="45"/>
      <c r="V924" s="45"/>
    </row>
    <row r="925">
      <c r="O925" s="41"/>
      <c r="P925" s="45"/>
      <c r="R925" s="45"/>
      <c r="T925" s="45"/>
      <c r="V925" s="45"/>
    </row>
    <row r="926">
      <c r="O926" s="41"/>
      <c r="P926" s="45"/>
      <c r="R926" s="45"/>
      <c r="T926" s="45"/>
      <c r="V926" s="45"/>
    </row>
    <row r="927">
      <c r="O927" s="41"/>
      <c r="P927" s="45"/>
      <c r="R927" s="45"/>
      <c r="T927" s="45"/>
      <c r="V927" s="45"/>
    </row>
    <row r="928">
      <c r="O928" s="41"/>
      <c r="P928" s="45"/>
      <c r="R928" s="45"/>
      <c r="T928" s="45"/>
      <c r="V928" s="45"/>
    </row>
    <row r="929">
      <c r="O929" s="41"/>
      <c r="P929" s="45"/>
      <c r="R929" s="45"/>
      <c r="T929" s="45"/>
      <c r="V929" s="45"/>
    </row>
    <row r="930">
      <c r="O930" s="41"/>
      <c r="P930" s="45"/>
      <c r="R930" s="45"/>
      <c r="T930" s="45"/>
      <c r="V930" s="45"/>
    </row>
    <row r="931">
      <c r="O931" s="41"/>
      <c r="P931" s="45"/>
      <c r="R931" s="45"/>
      <c r="T931" s="45"/>
      <c r="V931" s="45"/>
    </row>
    <row r="932">
      <c r="O932" s="41"/>
      <c r="P932" s="45"/>
      <c r="R932" s="45"/>
      <c r="T932" s="45"/>
      <c r="V932" s="45"/>
    </row>
    <row r="933">
      <c r="O933" s="41"/>
      <c r="P933" s="45"/>
      <c r="R933" s="45"/>
      <c r="T933" s="45"/>
      <c r="V933" s="45"/>
    </row>
    <row r="934">
      <c r="O934" s="41"/>
      <c r="P934" s="45"/>
      <c r="R934" s="45"/>
      <c r="T934" s="45"/>
      <c r="V934" s="45"/>
    </row>
    <row r="935">
      <c r="O935" s="41"/>
      <c r="P935" s="45"/>
      <c r="R935" s="45"/>
      <c r="T935" s="45"/>
      <c r="V935" s="45"/>
    </row>
    <row r="936">
      <c r="O936" s="41"/>
      <c r="P936" s="45"/>
      <c r="R936" s="45"/>
      <c r="T936" s="45"/>
      <c r="V936" s="45"/>
    </row>
    <row r="937">
      <c r="O937" s="41"/>
      <c r="P937" s="45"/>
      <c r="R937" s="45"/>
      <c r="T937" s="45"/>
      <c r="V937" s="45"/>
    </row>
    <row r="938">
      <c r="O938" s="41"/>
      <c r="P938" s="45"/>
      <c r="R938" s="45"/>
      <c r="T938" s="45"/>
      <c r="V938" s="45"/>
    </row>
    <row r="939">
      <c r="O939" s="41"/>
      <c r="P939" s="45"/>
      <c r="R939" s="45"/>
      <c r="T939" s="45"/>
      <c r="V939" s="45"/>
    </row>
    <row r="940">
      <c r="O940" s="41"/>
      <c r="P940" s="45"/>
      <c r="R940" s="45"/>
      <c r="T940" s="45"/>
      <c r="V940" s="45"/>
    </row>
    <row r="941">
      <c r="O941" s="41"/>
      <c r="P941" s="45"/>
      <c r="R941" s="45"/>
      <c r="T941" s="45"/>
      <c r="V941" s="45"/>
    </row>
    <row r="942">
      <c r="O942" s="41"/>
      <c r="P942" s="45"/>
      <c r="R942" s="45"/>
      <c r="T942" s="45"/>
      <c r="V942" s="45"/>
    </row>
    <row r="943">
      <c r="O943" s="41"/>
      <c r="P943" s="45"/>
      <c r="R943" s="45"/>
      <c r="T943" s="45"/>
      <c r="V943" s="45"/>
    </row>
    <row r="944">
      <c r="O944" s="41"/>
      <c r="P944" s="45"/>
      <c r="R944" s="45"/>
      <c r="T944" s="45"/>
      <c r="V944" s="45"/>
    </row>
    <row r="945">
      <c r="O945" s="41"/>
      <c r="P945" s="45"/>
      <c r="R945" s="45"/>
      <c r="T945" s="45"/>
      <c r="V945" s="45"/>
    </row>
    <row r="946">
      <c r="O946" s="41"/>
      <c r="P946" s="45"/>
      <c r="R946" s="45"/>
      <c r="T946" s="45"/>
      <c r="V946" s="45"/>
    </row>
    <row r="947">
      <c r="O947" s="41"/>
      <c r="P947" s="45"/>
      <c r="R947" s="45"/>
      <c r="T947" s="45"/>
      <c r="V947" s="45"/>
    </row>
    <row r="948">
      <c r="O948" s="41"/>
      <c r="P948" s="45"/>
      <c r="R948" s="45"/>
      <c r="T948" s="45"/>
      <c r="V948" s="45"/>
    </row>
    <row r="949">
      <c r="O949" s="41"/>
      <c r="P949" s="45"/>
      <c r="R949" s="45"/>
      <c r="T949" s="45"/>
      <c r="V949" s="45"/>
    </row>
    <row r="950">
      <c r="O950" s="41"/>
      <c r="P950" s="45"/>
      <c r="R950" s="45"/>
      <c r="T950" s="45"/>
      <c r="V950" s="45"/>
    </row>
    <row r="951">
      <c r="O951" s="41"/>
      <c r="P951" s="45"/>
      <c r="R951" s="45"/>
      <c r="T951" s="45"/>
      <c r="V951" s="45"/>
    </row>
    <row r="952">
      <c r="O952" s="41"/>
      <c r="P952" s="45"/>
      <c r="R952" s="45"/>
      <c r="T952" s="45"/>
      <c r="V952" s="45"/>
    </row>
    <row r="953">
      <c r="O953" s="41"/>
      <c r="P953" s="45"/>
      <c r="R953" s="45"/>
      <c r="T953" s="45"/>
      <c r="V953" s="45"/>
    </row>
    <row r="954">
      <c r="O954" s="41"/>
      <c r="P954" s="45"/>
      <c r="R954" s="45"/>
      <c r="T954" s="45"/>
      <c r="V954" s="45"/>
    </row>
    <row r="955">
      <c r="O955" s="41"/>
      <c r="P955" s="45"/>
      <c r="R955" s="45"/>
      <c r="T955" s="45"/>
      <c r="V955" s="45"/>
    </row>
    <row r="956">
      <c r="O956" s="41"/>
      <c r="P956" s="45"/>
      <c r="R956" s="45"/>
      <c r="T956" s="45"/>
      <c r="V956" s="45"/>
    </row>
    <row r="957">
      <c r="O957" s="41"/>
      <c r="P957" s="45"/>
      <c r="R957" s="45"/>
      <c r="T957" s="45"/>
      <c r="V957" s="45"/>
    </row>
    <row r="958">
      <c r="O958" s="41"/>
      <c r="P958" s="45"/>
      <c r="R958" s="45"/>
      <c r="T958" s="45"/>
      <c r="V958" s="45"/>
    </row>
    <row r="959">
      <c r="O959" s="41"/>
      <c r="P959" s="45"/>
      <c r="R959" s="45"/>
      <c r="T959" s="45"/>
      <c r="V959" s="45"/>
    </row>
    <row r="960">
      <c r="O960" s="41"/>
      <c r="P960" s="45"/>
      <c r="R960" s="45"/>
      <c r="T960" s="45"/>
      <c r="V960" s="45"/>
    </row>
    <row r="961">
      <c r="O961" s="41"/>
      <c r="P961" s="45"/>
      <c r="R961" s="45"/>
      <c r="T961" s="45"/>
      <c r="V961" s="45"/>
    </row>
    <row r="962">
      <c r="O962" s="41"/>
      <c r="P962" s="45"/>
      <c r="R962" s="45"/>
      <c r="T962" s="45"/>
      <c r="V962" s="45"/>
    </row>
    <row r="963">
      <c r="O963" s="41"/>
      <c r="P963" s="45"/>
      <c r="R963" s="45"/>
      <c r="T963" s="45"/>
      <c r="V963" s="45"/>
    </row>
    <row r="964">
      <c r="O964" s="41"/>
      <c r="P964" s="45"/>
      <c r="R964" s="45"/>
      <c r="T964" s="45"/>
      <c r="V964" s="45"/>
    </row>
    <row r="965">
      <c r="O965" s="41"/>
      <c r="P965" s="45"/>
      <c r="R965" s="45"/>
      <c r="T965" s="45"/>
      <c r="V965" s="45"/>
    </row>
    <row r="966">
      <c r="O966" s="41"/>
      <c r="P966" s="45"/>
      <c r="R966" s="45"/>
      <c r="T966" s="45"/>
      <c r="V966" s="45"/>
    </row>
    <row r="967">
      <c r="O967" s="41"/>
      <c r="P967" s="45"/>
      <c r="R967" s="45"/>
      <c r="T967" s="45"/>
      <c r="V967" s="45"/>
    </row>
    <row r="968">
      <c r="O968" s="41"/>
      <c r="P968" s="45"/>
      <c r="R968" s="45"/>
      <c r="T968" s="45"/>
      <c r="V968" s="45"/>
    </row>
    <row r="969">
      <c r="O969" s="41"/>
      <c r="P969" s="45"/>
      <c r="R969" s="45"/>
      <c r="T969" s="45"/>
      <c r="V969" s="45"/>
    </row>
    <row r="970">
      <c r="O970" s="41"/>
      <c r="P970" s="45"/>
      <c r="R970" s="45"/>
      <c r="T970" s="45"/>
      <c r="V970" s="45"/>
    </row>
    <row r="971">
      <c r="O971" s="41"/>
      <c r="P971" s="45"/>
      <c r="R971" s="45"/>
      <c r="T971" s="45"/>
      <c r="V971" s="45"/>
    </row>
    <row r="972">
      <c r="O972" s="41"/>
      <c r="P972" s="45"/>
      <c r="R972" s="45"/>
      <c r="T972" s="45"/>
      <c r="V972" s="45"/>
    </row>
    <row r="973">
      <c r="O973" s="41"/>
      <c r="P973" s="45"/>
      <c r="R973" s="45"/>
      <c r="T973" s="45"/>
      <c r="V973" s="45"/>
    </row>
    <row r="974">
      <c r="O974" s="41"/>
      <c r="P974" s="45"/>
      <c r="R974" s="45"/>
      <c r="T974" s="45"/>
      <c r="V974" s="45"/>
    </row>
    <row r="975">
      <c r="O975" s="41"/>
      <c r="P975" s="45"/>
      <c r="R975" s="45"/>
      <c r="T975" s="45"/>
      <c r="V975" s="45"/>
    </row>
    <row r="976">
      <c r="O976" s="41"/>
      <c r="P976" s="45"/>
      <c r="R976" s="45"/>
      <c r="T976" s="45"/>
      <c r="V976" s="45"/>
    </row>
    <row r="977">
      <c r="O977" s="41"/>
      <c r="P977" s="45"/>
      <c r="R977" s="45"/>
      <c r="T977" s="45"/>
      <c r="V977" s="45"/>
    </row>
    <row r="978">
      <c r="O978" s="41"/>
      <c r="P978" s="45"/>
      <c r="R978" s="45"/>
      <c r="T978" s="45"/>
      <c r="V978" s="45"/>
    </row>
    <row r="979">
      <c r="O979" s="41"/>
      <c r="P979" s="45"/>
      <c r="R979" s="45"/>
      <c r="T979" s="45"/>
      <c r="V979" s="45"/>
    </row>
    <row r="980">
      <c r="O980" s="41"/>
      <c r="P980" s="45"/>
      <c r="R980" s="45"/>
      <c r="T980" s="45"/>
      <c r="V980" s="45"/>
    </row>
    <row r="981">
      <c r="O981" s="41"/>
      <c r="P981" s="45"/>
      <c r="R981" s="45"/>
      <c r="T981" s="45"/>
      <c r="V981" s="45"/>
    </row>
    <row r="982">
      <c r="O982" s="41"/>
      <c r="P982" s="45"/>
      <c r="R982" s="45"/>
      <c r="T982" s="45"/>
      <c r="V982" s="45"/>
    </row>
    <row r="983">
      <c r="O983" s="41"/>
      <c r="P983" s="45"/>
      <c r="R983" s="45"/>
      <c r="T983" s="45"/>
      <c r="V983" s="45"/>
    </row>
    <row r="984">
      <c r="O984" s="41"/>
      <c r="P984" s="45"/>
      <c r="R984" s="45"/>
      <c r="T984" s="45"/>
      <c r="V984" s="45"/>
    </row>
    <row r="985">
      <c r="O985" s="41"/>
      <c r="P985" s="45"/>
      <c r="R985" s="45"/>
      <c r="T985" s="45"/>
      <c r="V985" s="45"/>
    </row>
    <row r="986">
      <c r="O986" s="41"/>
      <c r="P986" s="45"/>
      <c r="R986" s="45"/>
      <c r="T986" s="45"/>
      <c r="V986" s="45"/>
    </row>
    <row r="987">
      <c r="O987" s="41"/>
      <c r="P987" s="45"/>
      <c r="R987" s="45"/>
      <c r="T987" s="45"/>
      <c r="V987" s="45"/>
    </row>
    <row r="988">
      <c r="O988" s="41"/>
      <c r="P988" s="45"/>
      <c r="R988" s="45"/>
      <c r="T988" s="45"/>
      <c r="V988" s="45"/>
    </row>
    <row r="989">
      <c r="O989" s="41"/>
      <c r="P989" s="45"/>
      <c r="R989" s="45"/>
      <c r="T989" s="45"/>
      <c r="V989" s="45"/>
    </row>
    <row r="990">
      <c r="O990" s="41"/>
      <c r="P990" s="45"/>
      <c r="R990" s="45"/>
      <c r="T990" s="45"/>
      <c r="V990" s="45"/>
    </row>
    <row r="991">
      <c r="O991" s="41"/>
      <c r="P991" s="45"/>
      <c r="R991" s="45"/>
      <c r="T991" s="45"/>
      <c r="V991" s="45"/>
    </row>
    <row r="992">
      <c r="O992" s="41"/>
      <c r="P992" s="45"/>
      <c r="R992" s="45"/>
      <c r="T992" s="45"/>
      <c r="V992" s="45"/>
    </row>
    <row r="993">
      <c r="O993" s="41"/>
      <c r="P993" s="45"/>
      <c r="R993" s="45"/>
      <c r="T993" s="45"/>
      <c r="V993" s="45"/>
    </row>
    <row r="994">
      <c r="O994" s="41"/>
      <c r="P994" s="45"/>
      <c r="R994" s="45"/>
      <c r="T994" s="45"/>
      <c r="V994" s="45"/>
    </row>
    <row r="995">
      <c r="O995" s="41"/>
      <c r="P995" s="45"/>
      <c r="R995" s="45"/>
      <c r="T995" s="45"/>
      <c r="V995" s="45"/>
    </row>
    <row r="996">
      <c r="O996" s="41"/>
      <c r="P996" s="45"/>
      <c r="R996" s="45"/>
      <c r="T996" s="45"/>
      <c r="V996" s="45"/>
    </row>
    <row r="997">
      <c r="O997" s="41"/>
      <c r="P997" s="45"/>
      <c r="R997" s="45"/>
      <c r="T997" s="45"/>
      <c r="V997" s="45"/>
    </row>
    <row r="998">
      <c r="O998" s="41"/>
      <c r="P998" s="45"/>
      <c r="R998" s="45"/>
      <c r="T998" s="45"/>
      <c r="V998" s="45"/>
    </row>
    <row r="999">
      <c r="O999" s="41"/>
      <c r="P999" s="45"/>
      <c r="R999" s="45"/>
      <c r="T999" s="45"/>
      <c r="V999" s="45"/>
    </row>
    <row r="1000">
      <c r="O1000" s="41"/>
      <c r="P1000" s="45"/>
      <c r="R1000" s="45"/>
      <c r="T1000" s="45"/>
      <c r="V1000" s="45"/>
    </row>
  </sheetData>
  <mergeCells count="134">
    <mergeCell ref="A91:A92"/>
    <mergeCell ref="A93:A94"/>
    <mergeCell ref="A96:O96"/>
    <mergeCell ref="A98:A99"/>
    <mergeCell ref="A100:A101"/>
    <mergeCell ref="A102:A103"/>
    <mergeCell ref="A104:A105"/>
    <mergeCell ref="A106:A107"/>
    <mergeCell ref="A109:O109"/>
    <mergeCell ref="A111:A112"/>
    <mergeCell ref="A113:A114"/>
    <mergeCell ref="A115:A116"/>
    <mergeCell ref="A117:A118"/>
    <mergeCell ref="A119:A120"/>
    <mergeCell ref="A1:O1"/>
    <mergeCell ref="A3:A4"/>
    <mergeCell ref="A5:A6"/>
    <mergeCell ref="A7:A8"/>
    <mergeCell ref="A9:A10"/>
    <mergeCell ref="A11:A12"/>
    <mergeCell ref="A14:O14"/>
    <mergeCell ref="A16:A17"/>
    <mergeCell ref="A18:A19"/>
    <mergeCell ref="A20:A21"/>
    <mergeCell ref="A22:A23"/>
    <mergeCell ref="A24:A25"/>
    <mergeCell ref="A27:O27"/>
    <mergeCell ref="A29:A30"/>
    <mergeCell ref="A31:A32"/>
    <mergeCell ref="A33:A34"/>
    <mergeCell ref="A35:A36"/>
    <mergeCell ref="A37:A38"/>
    <mergeCell ref="A40:O40"/>
    <mergeCell ref="A42:O42"/>
    <mergeCell ref="A44:A45"/>
    <mergeCell ref="A46:A47"/>
    <mergeCell ref="A48:A49"/>
    <mergeCell ref="A50:A51"/>
    <mergeCell ref="A52:A53"/>
    <mergeCell ref="A55:O55"/>
    <mergeCell ref="A57:A58"/>
    <mergeCell ref="A59:A60"/>
    <mergeCell ref="A61:A62"/>
    <mergeCell ref="A63:A64"/>
    <mergeCell ref="A65:A66"/>
    <mergeCell ref="A68:O68"/>
    <mergeCell ref="A70:A71"/>
    <mergeCell ref="A72:A73"/>
    <mergeCell ref="A74:A75"/>
    <mergeCell ref="A76:A77"/>
    <mergeCell ref="A78:A79"/>
    <mergeCell ref="A81:O81"/>
    <mergeCell ref="A83:O83"/>
    <mergeCell ref="A85:A86"/>
    <mergeCell ref="A87:A88"/>
    <mergeCell ref="A89:A90"/>
    <mergeCell ref="A150:O150"/>
    <mergeCell ref="A163:O163"/>
    <mergeCell ref="A165:O165"/>
    <mergeCell ref="A178:O178"/>
    <mergeCell ref="A191:O191"/>
    <mergeCell ref="A122:O122"/>
    <mergeCell ref="A124:O124"/>
    <mergeCell ref="A126:A127"/>
    <mergeCell ref="A128:A129"/>
    <mergeCell ref="A130:A131"/>
    <mergeCell ref="A132:A133"/>
    <mergeCell ref="A137:O137"/>
    <mergeCell ref="A154:A155"/>
    <mergeCell ref="A156:A157"/>
    <mergeCell ref="A158:A159"/>
    <mergeCell ref="A160:A161"/>
    <mergeCell ref="A167:A168"/>
    <mergeCell ref="A169:A170"/>
    <mergeCell ref="A171:A172"/>
    <mergeCell ref="A173:A174"/>
    <mergeCell ref="A175:A176"/>
    <mergeCell ref="A180:A181"/>
    <mergeCell ref="A182:A183"/>
    <mergeCell ref="A184:A185"/>
    <mergeCell ref="A186:A187"/>
    <mergeCell ref="A188:A189"/>
    <mergeCell ref="A242:A243"/>
    <mergeCell ref="A249:A250"/>
    <mergeCell ref="A251:A252"/>
    <mergeCell ref="A253:A254"/>
    <mergeCell ref="A255:A256"/>
    <mergeCell ref="A257:A258"/>
    <mergeCell ref="A225:A226"/>
    <mergeCell ref="A227:A228"/>
    <mergeCell ref="A229:A230"/>
    <mergeCell ref="A234:A235"/>
    <mergeCell ref="A236:A237"/>
    <mergeCell ref="A238:A239"/>
    <mergeCell ref="A240:A241"/>
    <mergeCell ref="A134:A135"/>
    <mergeCell ref="A139:A140"/>
    <mergeCell ref="A141:A142"/>
    <mergeCell ref="A143:A144"/>
    <mergeCell ref="A145:A146"/>
    <mergeCell ref="A147:A148"/>
    <mergeCell ref="A152:A153"/>
    <mergeCell ref="M206:N206"/>
    <mergeCell ref="O206:P206"/>
    <mergeCell ref="Q206:R206"/>
    <mergeCell ref="S206:T206"/>
    <mergeCell ref="A193:A194"/>
    <mergeCell ref="A195:A196"/>
    <mergeCell ref="A197:A198"/>
    <mergeCell ref="A199:A200"/>
    <mergeCell ref="A201:A202"/>
    <mergeCell ref="A204:W204"/>
    <mergeCell ref="A206:K206"/>
    <mergeCell ref="U206:V206"/>
    <mergeCell ref="O219:P219"/>
    <mergeCell ref="Q219:R219"/>
    <mergeCell ref="S219:T219"/>
    <mergeCell ref="U219:V219"/>
    <mergeCell ref="A208:A209"/>
    <mergeCell ref="A210:A211"/>
    <mergeCell ref="A212:A213"/>
    <mergeCell ref="A214:A215"/>
    <mergeCell ref="A216:A217"/>
    <mergeCell ref="A219:K219"/>
    <mergeCell ref="M219:N219"/>
    <mergeCell ref="A223:A224"/>
    <mergeCell ref="A247:F247"/>
    <mergeCell ref="A221:A222"/>
    <mergeCell ref="A232:K232"/>
    <mergeCell ref="M232:N232"/>
    <mergeCell ref="O232:P232"/>
    <mergeCell ref="Q232:R232"/>
    <mergeCell ref="S232:T232"/>
    <mergeCell ref="U232:V2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5"/>
      <c r="R1" s="45"/>
      <c r="T1" s="45"/>
      <c r="V1" s="45"/>
    </row>
    <row r="2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7" t="s">
        <v>14</v>
      </c>
      <c r="O2" s="8" t="s">
        <v>15</v>
      </c>
      <c r="P2" s="45"/>
      <c r="R2" s="45"/>
      <c r="T2" s="45"/>
      <c r="V2" s="45"/>
    </row>
    <row r="3">
      <c r="A3" s="46" t="s">
        <v>16</v>
      </c>
      <c r="B3" s="47" t="s">
        <v>17</v>
      </c>
      <c r="C3" s="48">
        <v>930.0</v>
      </c>
      <c r="D3" s="49">
        <v>210.0</v>
      </c>
      <c r="E3" s="49">
        <v>510.0</v>
      </c>
      <c r="F3" s="49">
        <v>970.0</v>
      </c>
      <c r="G3" s="49">
        <v>170.0</v>
      </c>
      <c r="H3" s="49">
        <v>160.0</v>
      </c>
      <c r="I3" s="49">
        <v>190.0</v>
      </c>
      <c r="J3" s="49">
        <v>150.0</v>
      </c>
      <c r="K3" s="49">
        <v>420.0</v>
      </c>
      <c r="L3" s="50">
        <v>190.0</v>
      </c>
      <c r="M3" s="51">
        <f t="shared" ref="M3:M12" si="1">AVERAGE(C3:L3)</f>
        <v>390</v>
      </c>
      <c r="N3" s="52">
        <f t="shared" ref="N3:N12" si="2">MAX(C3:L3)</f>
        <v>970</v>
      </c>
      <c r="O3" s="53">
        <f t="shared" ref="O3:O12" si="3">_xlfn.PERCENTILE.INC(C3:L3, 0.9)</f>
        <v>934</v>
      </c>
      <c r="P3" s="45"/>
      <c r="R3" s="45"/>
      <c r="T3" s="45"/>
      <c r="V3" s="45"/>
    </row>
    <row r="4">
      <c r="A4" s="32"/>
      <c r="B4" s="54" t="s">
        <v>18</v>
      </c>
      <c r="C4" s="55">
        <v>937.563</v>
      </c>
      <c r="D4" s="56">
        <v>205.963</v>
      </c>
      <c r="E4" s="56">
        <v>547.507</v>
      </c>
      <c r="F4" s="56">
        <v>1181.8</v>
      </c>
      <c r="G4" s="56">
        <v>177.079</v>
      </c>
      <c r="H4" s="56">
        <v>155.01</v>
      </c>
      <c r="I4" s="56">
        <v>188.008</v>
      </c>
      <c r="J4" s="56">
        <v>144.597</v>
      </c>
      <c r="K4" s="56">
        <v>430.664</v>
      </c>
      <c r="L4" s="57">
        <v>190.981</v>
      </c>
      <c r="M4" s="58">
        <f t="shared" si="1"/>
        <v>415.9172</v>
      </c>
      <c r="N4" s="59">
        <f t="shared" si="2"/>
        <v>1181.8</v>
      </c>
      <c r="O4" s="60">
        <f t="shared" si="3"/>
        <v>961.9867</v>
      </c>
      <c r="P4" s="45"/>
      <c r="R4" s="45"/>
      <c r="T4" s="45"/>
      <c r="V4" s="45"/>
    </row>
    <row r="5">
      <c r="A5" s="61" t="s">
        <v>19</v>
      </c>
      <c r="B5" s="5" t="s">
        <v>17</v>
      </c>
      <c r="C5" s="26">
        <v>880.0</v>
      </c>
      <c r="D5" s="27">
        <v>1420.0</v>
      </c>
      <c r="E5" s="27">
        <v>1380.0</v>
      </c>
      <c r="F5" s="27">
        <v>1300.0</v>
      </c>
      <c r="G5" s="27">
        <v>840.0</v>
      </c>
      <c r="H5" s="27">
        <v>500.0</v>
      </c>
      <c r="I5" s="27">
        <v>530.0</v>
      </c>
      <c r="J5" s="27">
        <v>470.0</v>
      </c>
      <c r="K5" s="27">
        <v>840.0</v>
      </c>
      <c r="L5" s="28">
        <v>300.0</v>
      </c>
      <c r="M5" s="29">
        <f t="shared" si="1"/>
        <v>846</v>
      </c>
      <c r="N5" s="30">
        <f t="shared" si="2"/>
        <v>1420</v>
      </c>
      <c r="O5" s="31">
        <f t="shared" si="3"/>
        <v>1384</v>
      </c>
      <c r="P5" s="45"/>
      <c r="R5" s="45"/>
      <c r="T5" s="45"/>
      <c r="V5" s="45"/>
    </row>
    <row r="6">
      <c r="A6" s="17"/>
      <c r="B6" s="62" t="s">
        <v>18</v>
      </c>
      <c r="C6" s="26">
        <v>878.849</v>
      </c>
      <c r="D6" s="27">
        <v>1413.21</v>
      </c>
      <c r="E6" s="27">
        <v>1392.57</v>
      </c>
      <c r="F6" s="27">
        <v>1307.05</v>
      </c>
      <c r="G6" s="27">
        <v>849.961</v>
      </c>
      <c r="H6" s="27">
        <v>998.01</v>
      </c>
      <c r="I6" s="27">
        <v>531.803</v>
      </c>
      <c r="J6" s="27">
        <v>519.325</v>
      </c>
      <c r="K6" s="27">
        <v>970.214</v>
      </c>
      <c r="L6" s="28">
        <v>299.47</v>
      </c>
      <c r="M6" s="63">
        <f t="shared" si="1"/>
        <v>916.0462</v>
      </c>
      <c r="N6" s="30">
        <f t="shared" si="2"/>
        <v>1413.21</v>
      </c>
      <c r="O6" s="31">
        <f t="shared" si="3"/>
        <v>1394.634</v>
      </c>
      <c r="P6" s="45"/>
      <c r="R6" s="45"/>
      <c r="T6" s="45"/>
      <c r="V6" s="45"/>
    </row>
    <row r="7">
      <c r="A7" s="64" t="s">
        <v>20</v>
      </c>
      <c r="B7" s="47" t="s">
        <v>17</v>
      </c>
      <c r="C7" s="55">
        <v>2140.0</v>
      </c>
      <c r="D7" s="56">
        <v>3130.0</v>
      </c>
      <c r="E7" s="56">
        <v>1230.0</v>
      </c>
      <c r="F7" s="56">
        <v>1010.0</v>
      </c>
      <c r="G7" s="56">
        <v>1660.0</v>
      </c>
      <c r="H7" s="56">
        <v>1260.0</v>
      </c>
      <c r="I7" s="56">
        <v>910.0</v>
      </c>
      <c r="J7" s="56">
        <v>960.0</v>
      </c>
      <c r="K7" s="56">
        <v>1340.0</v>
      </c>
      <c r="L7" s="57">
        <v>720.0</v>
      </c>
      <c r="M7" s="65">
        <f t="shared" si="1"/>
        <v>1436</v>
      </c>
      <c r="N7" s="59">
        <f t="shared" si="2"/>
        <v>3130</v>
      </c>
      <c r="O7" s="60">
        <f t="shared" si="3"/>
        <v>2239</v>
      </c>
      <c r="P7" s="45"/>
      <c r="R7" s="45"/>
      <c r="T7" s="45"/>
      <c r="V7" s="45"/>
    </row>
    <row r="8">
      <c r="A8" s="17"/>
      <c r="B8" s="66" t="s">
        <v>18</v>
      </c>
      <c r="C8" s="55">
        <v>2136.02</v>
      </c>
      <c r="D8" s="56">
        <v>3354.68</v>
      </c>
      <c r="E8" s="56">
        <v>1224.65</v>
      </c>
      <c r="F8" s="56">
        <v>1012.4</v>
      </c>
      <c r="G8" s="56">
        <v>1705.46</v>
      </c>
      <c r="H8" s="56">
        <v>1269.55</v>
      </c>
      <c r="I8" s="56">
        <v>921.689</v>
      </c>
      <c r="J8" s="56">
        <v>963.174</v>
      </c>
      <c r="K8" s="56">
        <v>1346.82</v>
      </c>
      <c r="L8" s="57">
        <v>723.579</v>
      </c>
      <c r="M8" s="58">
        <f t="shared" si="1"/>
        <v>1465.8022</v>
      </c>
      <c r="N8" s="59">
        <f t="shared" si="2"/>
        <v>3354.68</v>
      </c>
      <c r="O8" s="60">
        <f t="shared" si="3"/>
        <v>2257.886</v>
      </c>
      <c r="P8" s="45"/>
      <c r="R8" s="45"/>
      <c r="T8" s="45"/>
      <c r="V8" s="45"/>
    </row>
    <row r="9">
      <c r="A9" s="61" t="s">
        <v>21</v>
      </c>
      <c r="B9" s="5" t="s">
        <v>17</v>
      </c>
      <c r="C9" s="26">
        <v>5620.0</v>
      </c>
      <c r="D9" s="27">
        <v>3340.0</v>
      </c>
      <c r="E9" s="27">
        <v>3020.0</v>
      </c>
      <c r="F9" s="27">
        <v>1550.0</v>
      </c>
      <c r="G9" s="27">
        <v>2330.0</v>
      </c>
      <c r="H9" s="27">
        <v>2180.0</v>
      </c>
      <c r="I9" s="27">
        <v>1460.0</v>
      </c>
      <c r="J9" s="27">
        <v>940.0</v>
      </c>
      <c r="K9" s="27">
        <v>1870.0</v>
      </c>
      <c r="L9" s="28">
        <v>1020.0</v>
      </c>
      <c r="M9" s="29">
        <f t="shared" si="1"/>
        <v>2333</v>
      </c>
      <c r="N9" s="30">
        <f t="shared" si="2"/>
        <v>5620</v>
      </c>
      <c r="O9" s="31">
        <f t="shared" si="3"/>
        <v>3568</v>
      </c>
      <c r="P9" s="45"/>
      <c r="R9" s="45"/>
      <c r="T9" s="45"/>
      <c r="V9" s="45"/>
    </row>
    <row r="10">
      <c r="A10" s="17"/>
      <c r="B10" s="62" t="s">
        <v>18</v>
      </c>
      <c r="C10" s="26">
        <v>5633.82</v>
      </c>
      <c r="D10" s="27">
        <v>3358.96</v>
      </c>
      <c r="E10" s="27">
        <v>4375.73</v>
      </c>
      <c r="F10" s="27">
        <v>1555.09</v>
      </c>
      <c r="G10" s="27">
        <v>2335.15</v>
      </c>
      <c r="H10" s="27">
        <v>2187.8</v>
      </c>
      <c r="I10" s="27">
        <v>1457.2</v>
      </c>
      <c r="J10" s="27">
        <v>948.076</v>
      </c>
      <c r="K10" s="27">
        <v>1870.21</v>
      </c>
      <c r="L10" s="28">
        <v>1018.57</v>
      </c>
      <c r="M10" s="63">
        <f t="shared" si="1"/>
        <v>2474.0606</v>
      </c>
      <c r="N10" s="30">
        <f t="shared" si="2"/>
        <v>5633.82</v>
      </c>
      <c r="O10" s="31">
        <f t="shared" si="3"/>
        <v>4501.539</v>
      </c>
      <c r="P10" s="45"/>
      <c r="R10" s="45"/>
      <c r="T10" s="45"/>
      <c r="V10" s="45"/>
    </row>
    <row r="11">
      <c r="A11" s="64" t="s">
        <v>22</v>
      </c>
      <c r="B11" s="47" t="s">
        <v>17</v>
      </c>
      <c r="C11" s="55">
        <v>8450.0</v>
      </c>
      <c r="D11" s="56">
        <v>8140.0</v>
      </c>
      <c r="E11" s="56">
        <v>7360.0</v>
      </c>
      <c r="F11" s="56">
        <v>4310.0</v>
      </c>
      <c r="G11" s="56">
        <v>4030.0</v>
      </c>
      <c r="H11" s="56">
        <v>1840.0</v>
      </c>
      <c r="I11" s="56">
        <v>1730.0</v>
      </c>
      <c r="J11" s="56">
        <v>2730.0</v>
      </c>
      <c r="K11" s="56">
        <v>2890.0</v>
      </c>
      <c r="L11" s="57">
        <v>1790.0</v>
      </c>
      <c r="M11" s="65">
        <f t="shared" si="1"/>
        <v>4327</v>
      </c>
      <c r="N11" s="59">
        <f t="shared" si="2"/>
        <v>8450</v>
      </c>
      <c r="O11" s="60">
        <f t="shared" si="3"/>
        <v>8171</v>
      </c>
      <c r="P11" s="45"/>
      <c r="R11" s="45"/>
      <c r="T11" s="45"/>
      <c r="V11" s="45"/>
    </row>
    <row r="12">
      <c r="A12" s="17"/>
      <c r="B12" s="67" t="s">
        <v>18</v>
      </c>
      <c r="C12" s="68">
        <v>8474.37</v>
      </c>
      <c r="D12" s="69">
        <v>10775.9</v>
      </c>
      <c r="E12" s="69">
        <v>8328.48</v>
      </c>
      <c r="F12" s="69">
        <v>4310.44</v>
      </c>
      <c r="G12" s="69">
        <v>4039.83</v>
      </c>
      <c r="H12" s="69">
        <v>1851.2</v>
      </c>
      <c r="I12" s="69">
        <v>1729.8</v>
      </c>
      <c r="J12" s="69">
        <v>2924.02</v>
      </c>
      <c r="K12" s="69">
        <v>2893.15</v>
      </c>
      <c r="L12" s="70">
        <v>1794.41</v>
      </c>
      <c r="M12" s="71">
        <f t="shared" si="1"/>
        <v>4712.16</v>
      </c>
      <c r="N12" s="72">
        <f t="shared" si="2"/>
        <v>10775.9</v>
      </c>
      <c r="O12" s="73">
        <f t="shared" si="3"/>
        <v>8704.523</v>
      </c>
      <c r="P12" s="45"/>
      <c r="R12" s="45"/>
      <c r="T12" s="45"/>
      <c r="V12" s="45"/>
    </row>
    <row r="13">
      <c r="O13" s="41"/>
      <c r="P13" s="45"/>
      <c r="R13" s="45"/>
      <c r="T13" s="45"/>
      <c r="V13" s="45"/>
    </row>
    <row r="14">
      <c r="A14" s="1" t="s">
        <v>56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5"/>
      <c r="R14" s="45"/>
      <c r="T14" s="45"/>
      <c r="V14" s="45"/>
    </row>
    <row r="15">
      <c r="A15" s="4" t="s">
        <v>1</v>
      </c>
      <c r="B15" s="5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6" t="s">
        <v>11</v>
      </c>
      <c r="L15" s="6" t="s">
        <v>12</v>
      </c>
      <c r="M15" s="7" t="s">
        <v>13</v>
      </c>
      <c r="N15" s="7" t="s">
        <v>14</v>
      </c>
      <c r="O15" s="8" t="s">
        <v>15</v>
      </c>
      <c r="P15" s="45"/>
      <c r="R15" s="45"/>
      <c r="T15" s="45"/>
      <c r="V15" s="45"/>
    </row>
    <row r="16">
      <c r="A16" s="64" t="s">
        <v>16</v>
      </c>
      <c r="B16" s="47" t="s">
        <v>17</v>
      </c>
      <c r="C16" s="48">
        <v>510.0</v>
      </c>
      <c r="D16" s="49">
        <v>270.0</v>
      </c>
      <c r="E16" s="49">
        <v>480.0</v>
      </c>
      <c r="F16" s="49">
        <v>220.0</v>
      </c>
      <c r="G16" s="49">
        <v>630.0</v>
      </c>
      <c r="H16" s="49">
        <v>370.0</v>
      </c>
      <c r="I16" s="49">
        <v>210.0</v>
      </c>
      <c r="J16" s="49">
        <v>300.0</v>
      </c>
      <c r="K16" s="49">
        <v>480.0</v>
      </c>
      <c r="L16" s="50">
        <v>260.0</v>
      </c>
      <c r="M16" s="51">
        <f t="shared" ref="M16:M25" si="4">AVERAGE(C16:L16)</f>
        <v>373</v>
      </c>
      <c r="N16" s="52">
        <f t="shared" ref="N16:N25" si="5">MAX(C16:L16)</f>
        <v>630</v>
      </c>
      <c r="O16" s="53">
        <f t="shared" ref="O16:O25" si="6">_xlfn.PERCENTILE.INC(C16:L16, 0.9)</f>
        <v>522</v>
      </c>
      <c r="P16" s="45"/>
      <c r="R16" s="45"/>
      <c r="T16" s="45"/>
      <c r="V16" s="45"/>
    </row>
    <row r="17">
      <c r="A17" s="17"/>
      <c r="B17" s="66" t="s">
        <v>18</v>
      </c>
      <c r="C17" s="55">
        <v>518.568</v>
      </c>
      <c r="D17" s="56">
        <v>272.055</v>
      </c>
      <c r="E17" s="56">
        <v>486.399</v>
      </c>
      <c r="F17" s="56">
        <v>222.402</v>
      </c>
      <c r="G17" s="56">
        <v>621.928</v>
      </c>
      <c r="H17" s="56">
        <v>363.303</v>
      </c>
      <c r="I17" s="56">
        <v>213.177</v>
      </c>
      <c r="J17" s="56">
        <v>304.409</v>
      </c>
      <c r="K17" s="56">
        <v>481.876</v>
      </c>
      <c r="L17" s="57">
        <v>255.497</v>
      </c>
      <c r="M17" s="58">
        <f t="shared" si="4"/>
        <v>373.9614</v>
      </c>
      <c r="N17" s="59">
        <f t="shared" si="5"/>
        <v>621.928</v>
      </c>
      <c r="O17" s="60">
        <f t="shared" si="6"/>
        <v>528.904</v>
      </c>
      <c r="P17" s="45"/>
      <c r="R17" s="45"/>
      <c r="T17" s="45"/>
      <c r="V17" s="45"/>
    </row>
    <row r="18">
      <c r="A18" s="61" t="s">
        <v>19</v>
      </c>
      <c r="B18" s="5" t="s">
        <v>17</v>
      </c>
      <c r="C18" s="26">
        <v>600.0</v>
      </c>
      <c r="D18" s="27">
        <v>480.0</v>
      </c>
      <c r="E18" s="27">
        <v>610.0</v>
      </c>
      <c r="F18" s="27">
        <v>440.0</v>
      </c>
      <c r="G18" s="27">
        <v>680.0</v>
      </c>
      <c r="H18" s="27">
        <v>410.0</v>
      </c>
      <c r="I18" s="27">
        <v>570.0</v>
      </c>
      <c r="J18" s="27">
        <v>610.0</v>
      </c>
      <c r="K18" s="27">
        <v>630.0</v>
      </c>
      <c r="L18" s="28">
        <v>830.0</v>
      </c>
      <c r="M18" s="29">
        <f t="shared" si="4"/>
        <v>586</v>
      </c>
      <c r="N18" s="30">
        <f t="shared" si="5"/>
        <v>830</v>
      </c>
      <c r="O18" s="31">
        <f t="shared" si="6"/>
        <v>695</v>
      </c>
      <c r="P18" s="45"/>
      <c r="R18" s="45"/>
      <c r="T18" s="45"/>
      <c r="V18" s="45"/>
    </row>
    <row r="19">
      <c r="A19" s="17"/>
      <c r="B19" s="62" t="s">
        <v>18</v>
      </c>
      <c r="C19" s="26">
        <v>603.845</v>
      </c>
      <c r="D19" s="27">
        <v>478.017</v>
      </c>
      <c r="E19" s="27">
        <v>609.482</v>
      </c>
      <c r="F19" s="27">
        <v>442.278</v>
      </c>
      <c r="G19" s="27">
        <v>683.383</v>
      </c>
      <c r="H19" s="27">
        <v>407.811</v>
      </c>
      <c r="I19" s="27">
        <v>564.622</v>
      </c>
      <c r="J19" s="27">
        <v>618.206</v>
      </c>
      <c r="K19" s="27">
        <v>637.478</v>
      </c>
      <c r="L19" s="28">
        <v>832.042</v>
      </c>
      <c r="M19" s="63">
        <f t="shared" si="4"/>
        <v>587.7164</v>
      </c>
      <c r="N19" s="30">
        <f t="shared" si="5"/>
        <v>832.042</v>
      </c>
      <c r="O19" s="31">
        <f t="shared" si="6"/>
        <v>698.2489</v>
      </c>
      <c r="P19" s="45"/>
      <c r="R19" s="45"/>
      <c r="T19" s="45"/>
      <c r="V19" s="45"/>
    </row>
    <row r="20">
      <c r="A20" s="64" t="s">
        <v>20</v>
      </c>
      <c r="B20" s="47" t="s">
        <v>17</v>
      </c>
      <c r="C20" s="55">
        <v>1810.0</v>
      </c>
      <c r="D20" s="56">
        <v>1810.0</v>
      </c>
      <c r="E20" s="56">
        <v>1090.0</v>
      </c>
      <c r="F20" s="56">
        <v>1800.0</v>
      </c>
      <c r="G20" s="56">
        <v>1100.0</v>
      </c>
      <c r="H20" s="56">
        <v>1130.0</v>
      </c>
      <c r="I20" s="56">
        <v>1770.0</v>
      </c>
      <c r="J20" s="56">
        <v>1190.0</v>
      </c>
      <c r="K20" s="56">
        <v>880.0</v>
      </c>
      <c r="L20" s="57">
        <v>940.0</v>
      </c>
      <c r="M20" s="65">
        <f t="shared" si="4"/>
        <v>1352</v>
      </c>
      <c r="N20" s="59">
        <f t="shared" si="5"/>
        <v>1810</v>
      </c>
      <c r="O20" s="60">
        <f t="shared" si="6"/>
        <v>1810</v>
      </c>
      <c r="P20" s="45"/>
      <c r="R20" s="45"/>
      <c r="T20" s="45"/>
      <c r="V20" s="45"/>
    </row>
    <row r="21">
      <c r="A21" s="17"/>
      <c r="B21" s="66" t="s">
        <v>18</v>
      </c>
      <c r="C21" s="55">
        <v>1819.78</v>
      </c>
      <c r="D21" s="56">
        <v>1810.89</v>
      </c>
      <c r="E21" s="56">
        <v>1100.33</v>
      </c>
      <c r="F21" s="56">
        <v>1800.85</v>
      </c>
      <c r="G21" s="56">
        <v>1097.97</v>
      </c>
      <c r="H21" s="56">
        <v>1130.46</v>
      </c>
      <c r="I21" s="56">
        <v>1777.17</v>
      </c>
      <c r="J21" s="56">
        <v>1193.51</v>
      </c>
      <c r="K21" s="56">
        <v>884.355</v>
      </c>
      <c r="L21" s="57">
        <v>943.76</v>
      </c>
      <c r="M21" s="58">
        <f t="shared" si="4"/>
        <v>1355.9075</v>
      </c>
      <c r="N21" s="59">
        <f t="shared" si="5"/>
        <v>1819.78</v>
      </c>
      <c r="O21" s="60">
        <f t="shared" si="6"/>
        <v>1811.779</v>
      </c>
      <c r="P21" s="45"/>
      <c r="R21" s="45"/>
      <c r="T21" s="45"/>
      <c r="V21" s="45"/>
    </row>
    <row r="22">
      <c r="A22" s="61" t="s">
        <v>21</v>
      </c>
      <c r="B22" s="5" t="s">
        <v>17</v>
      </c>
      <c r="C22" s="26">
        <v>3280.0</v>
      </c>
      <c r="D22" s="27">
        <v>2050.0</v>
      </c>
      <c r="E22" s="27">
        <v>3510.0</v>
      </c>
      <c r="F22" s="27">
        <v>1880.0</v>
      </c>
      <c r="G22" s="27">
        <v>4610.0</v>
      </c>
      <c r="H22" s="27">
        <v>3810.0</v>
      </c>
      <c r="I22" s="27">
        <v>2930.0</v>
      </c>
      <c r="J22" s="27">
        <v>3710.0</v>
      </c>
      <c r="K22" s="27">
        <v>1960.0</v>
      </c>
      <c r="L22" s="28">
        <v>2900.0</v>
      </c>
      <c r="M22" s="29">
        <f t="shared" si="4"/>
        <v>3064</v>
      </c>
      <c r="N22" s="30">
        <f t="shared" si="5"/>
        <v>4610</v>
      </c>
      <c r="O22" s="31">
        <f t="shared" si="6"/>
        <v>3890</v>
      </c>
      <c r="P22" s="45"/>
      <c r="R22" s="45"/>
      <c r="T22" s="45"/>
      <c r="V22" s="45"/>
    </row>
    <row r="23">
      <c r="A23" s="17"/>
      <c r="B23" s="62" t="s">
        <v>18</v>
      </c>
      <c r="C23" s="26">
        <v>3281.01</v>
      </c>
      <c r="D23" s="27">
        <v>2051.21</v>
      </c>
      <c r="E23" s="27">
        <v>3522.05</v>
      </c>
      <c r="F23" s="27">
        <v>1888.22</v>
      </c>
      <c r="G23" s="27">
        <v>4618.94</v>
      </c>
      <c r="H23" s="27">
        <v>3825.6</v>
      </c>
      <c r="I23" s="27">
        <v>2933.65</v>
      </c>
      <c r="J23" s="27">
        <v>3719.92</v>
      </c>
      <c r="K23" s="27">
        <v>1965.31</v>
      </c>
      <c r="L23" s="28">
        <v>2898.65</v>
      </c>
      <c r="M23" s="63">
        <f t="shared" si="4"/>
        <v>3070.456</v>
      </c>
      <c r="N23" s="30">
        <f t="shared" si="5"/>
        <v>4618.94</v>
      </c>
      <c r="O23" s="31">
        <f t="shared" si="6"/>
        <v>3904.934</v>
      </c>
      <c r="P23" s="45"/>
      <c r="R23" s="45"/>
      <c r="T23" s="45"/>
      <c r="V23" s="45"/>
    </row>
    <row r="24">
      <c r="A24" s="64" t="s">
        <v>22</v>
      </c>
      <c r="B24" s="47" t="s">
        <v>17</v>
      </c>
      <c r="C24" s="55">
        <v>7140.0</v>
      </c>
      <c r="D24" s="56">
        <v>5740.0</v>
      </c>
      <c r="E24" s="56">
        <v>5740.0</v>
      </c>
      <c r="F24" s="56">
        <v>5890.0</v>
      </c>
      <c r="G24" s="56">
        <v>5140.0</v>
      </c>
      <c r="H24" s="56">
        <v>4390.0</v>
      </c>
      <c r="I24" s="56">
        <v>4670.0</v>
      </c>
      <c r="J24" s="56">
        <v>6540.0</v>
      </c>
      <c r="K24" s="56">
        <v>7200.0</v>
      </c>
      <c r="L24" s="57">
        <v>5580.0</v>
      </c>
      <c r="M24" s="65">
        <f t="shared" si="4"/>
        <v>5803</v>
      </c>
      <c r="N24" s="59">
        <f t="shared" si="5"/>
        <v>7200</v>
      </c>
      <c r="O24" s="60">
        <f t="shared" si="6"/>
        <v>7146</v>
      </c>
      <c r="P24" s="45"/>
      <c r="R24" s="45"/>
      <c r="T24" s="45"/>
      <c r="V24" s="45"/>
    </row>
    <row r="25">
      <c r="A25" s="17"/>
      <c r="B25" s="67" t="s">
        <v>18</v>
      </c>
      <c r="C25" s="68">
        <v>7146.63</v>
      </c>
      <c r="D25" s="69">
        <v>5756.65</v>
      </c>
      <c r="E25" s="69">
        <v>5751.46</v>
      </c>
      <c r="F25" s="69">
        <v>5903.05</v>
      </c>
      <c r="G25" s="69">
        <v>5160.98</v>
      </c>
      <c r="H25" s="69">
        <v>4404.44</v>
      </c>
      <c r="I25" s="69">
        <v>4676.74</v>
      </c>
      <c r="J25" s="69">
        <v>6558.54</v>
      </c>
      <c r="K25" s="69">
        <v>7216.65</v>
      </c>
      <c r="L25" s="70">
        <v>5594.42</v>
      </c>
      <c r="M25" s="71">
        <f t="shared" si="4"/>
        <v>5816.956</v>
      </c>
      <c r="N25" s="72">
        <f t="shared" si="5"/>
        <v>7216.65</v>
      </c>
      <c r="O25" s="73">
        <f t="shared" si="6"/>
        <v>7153.632</v>
      </c>
      <c r="P25" s="45"/>
      <c r="R25" s="45"/>
      <c r="T25" s="45"/>
      <c r="V25" s="45"/>
    </row>
    <row r="26">
      <c r="O26" s="41"/>
      <c r="P26" s="45"/>
      <c r="R26" s="45"/>
      <c r="T26" s="45"/>
      <c r="V26" s="45"/>
    </row>
    <row r="27">
      <c r="A27" s="1" t="s">
        <v>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5"/>
      <c r="R27" s="45"/>
      <c r="T27" s="45"/>
      <c r="V27" s="45"/>
    </row>
    <row r="28">
      <c r="A28" s="4" t="s">
        <v>1</v>
      </c>
      <c r="B28" s="4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  <c r="I28" s="6" t="s">
        <v>9</v>
      </c>
      <c r="J28" s="6" t="s">
        <v>10</v>
      </c>
      <c r="K28" s="6" t="s">
        <v>11</v>
      </c>
      <c r="L28" s="6" t="s">
        <v>12</v>
      </c>
      <c r="M28" s="7" t="s">
        <v>13</v>
      </c>
      <c r="N28" s="7" t="s">
        <v>14</v>
      </c>
      <c r="O28" s="8" t="s">
        <v>15</v>
      </c>
      <c r="P28" s="45"/>
      <c r="R28" s="45"/>
      <c r="T28" s="45"/>
      <c r="V28" s="45"/>
    </row>
    <row r="29">
      <c r="A29" s="46" t="s">
        <v>16</v>
      </c>
      <c r="B29" s="47" t="s">
        <v>17</v>
      </c>
      <c r="C29" s="56">
        <v>180.0</v>
      </c>
      <c r="D29" s="56">
        <v>140.0</v>
      </c>
      <c r="E29" s="56">
        <v>120.0</v>
      </c>
      <c r="F29" s="56">
        <v>130.0</v>
      </c>
      <c r="G29" s="56">
        <v>140.0</v>
      </c>
      <c r="H29" s="56">
        <v>130.0</v>
      </c>
      <c r="I29" s="56">
        <v>150.0</v>
      </c>
      <c r="J29" s="56">
        <v>130.0</v>
      </c>
      <c r="K29" s="56">
        <v>170.0</v>
      </c>
      <c r="L29" s="56">
        <v>140.0</v>
      </c>
      <c r="M29" s="51">
        <f t="shared" ref="M29:M38" si="7">AVERAGE(C29:L29)</f>
        <v>143</v>
      </c>
      <c r="N29" s="52">
        <f t="shared" ref="N29:N38" si="8">MAX(C29:L29)</f>
        <v>180</v>
      </c>
      <c r="O29" s="53">
        <f t="shared" ref="O29:O38" si="9">_xlfn.PERCENTILE.INC(C29:L29, 0.9)</f>
        <v>171</v>
      </c>
      <c r="P29" s="45"/>
      <c r="R29" s="45"/>
      <c r="T29" s="45"/>
      <c r="V29" s="45"/>
    </row>
    <row r="30">
      <c r="A30" s="32"/>
      <c r="B30" s="54" t="s">
        <v>18</v>
      </c>
      <c r="C30" s="56">
        <v>178.551</v>
      </c>
      <c r="D30" s="56">
        <v>143.17</v>
      </c>
      <c r="E30" s="56">
        <v>129.035</v>
      </c>
      <c r="F30" s="56">
        <v>130.648</v>
      </c>
      <c r="G30" s="56">
        <v>132.276</v>
      </c>
      <c r="H30" s="56">
        <v>131.796</v>
      </c>
      <c r="I30" s="56">
        <v>156.407</v>
      </c>
      <c r="J30" s="56">
        <v>130.524</v>
      </c>
      <c r="K30" s="56">
        <v>168.628</v>
      </c>
      <c r="L30" s="56">
        <v>136.167</v>
      </c>
      <c r="M30" s="58">
        <f t="shared" si="7"/>
        <v>143.7202</v>
      </c>
      <c r="N30" s="59">
        <f t="shared" si="8"/>
        <v>178.551</v>
      </c>
      <c r="O30" s="60">
        <f t="shared" si="9"/>
        <v>169.6203</v>
      </c>
      <c r="P30" s="45"/>
      <c r="R30" s="45"/>
      <c r="T30" s="45"/>
      <c r="V30" s="45"/>
    </row>
    <row r="31">
      <c r="A31" s="25" t="s">
        <v>19</v>
      </c>
      <c r="B31" s="5" t="s">
        <v>17</v>
      </c>
      <c r="C31" s="27">
        <v>390.0</v>
      </c>
      <c r="D31" s="27">
        <v>360.0</v>
      </c>
      <c r="E31" s="27">
        <v>340.0</v>
      </c>
      <c r="F31" s="27">
        <v>240.0</v>
      </c>
      <c r="G31" s="27">
        <v>260.0</v>
      </c>
      <c r="H31" s="27">
        <v>280.0</v>
      </c>
      <c r="I31" s="27">
        <v>340.0</v>
      </c>
      <c r="J31" s="27">
        <v>240.0</v>
      </c>
      <c r="K31" s="27">
        <v>310.0</v>
      </c>
      <c r="L31" s="27">
        <v>250.0</v>
      </c>
      <c r="M31" s="29">
        <f t="shared" si="7"/>
        <v>301</v>
      </c>
      <c r="N31" s="30">
        <f t="shared" si="8"/>
        <v>390</v>
      </c>
      <c r="O31" s="31">
        <f t="shared" si="9"/>
        <v>363</v>
      </c>
      <c r="P31" s="45"/>
      <c r="R31" s="45"/>
      <c r="T31" s="45"/>
      <c r="V31" s="45"/>
    </row>
    <row r="32">
      <c r="A32" s="32"/>
      <c r="B32" s="62" t="s">
        <v>18</v>
      </c>
      <c r="C32" s="27">
        <v>391.465</v>
      </c>
      <c r="D32" s="27">
        <v>364.945</v>
      </c>
      <c r="E32" s="27">
        <v>353.637</v>
      </c>
      <c r="F32" s="27">
        <v>246.991</v>
      </c>
      <c r="G32" s="27">
        <v>258.855</v>
      </c>
      <c r="H32" s="27">
        <v>282.803</v>
      </c>
      <c r="I32" s="27">
        <v>337.727</v>
      </c>
      <c r="J32" s="27">
        <v>246.543</v>
      </c>
      <c r="K32" s="27">
        <v>308.12</v>
      </c>
      <c r="L32" s="27">
        <v>249.823</v>
      </c>
      <c r="M32" s="63">
        <f t="shared" si="7"/>
        <v>304.0909</v>
      </c>
      <c r="N32" s="30">
        <f t="shared" si="8"/>
        <v>391.465</v>
      </c>
      <c r="O32" s="31">
        <f t="shared" si="9"/>
        <v>367.597</v>
      </c>
      <c r="P32" s="45"/>
      <c r="R32" s="45"/>
      <c r="T32" s="45"/>
      <c r="V32" s="45"/>
    </row>
    <row r="33">
      <c r="A33" s="46" t="s">
        <v>20</v>
      </c>
      <c r="B33" s="47" t="s">
        <v>17</v>
      </c>
      <c r="C33" s="56">
        <v>600.0</v>
      </c>
      <c r="D33" s="56">
        <v>690.0</v>
      </c>
      <c r="E33" s="56">
        <v>600.0</v>
      </c>
      <c r="F33" s="56">
        <v>660.0</v>
      </c>
      <c r="G33" s="56">
        <v>510.0</v>
      </c>
      <c r="H33" s="56">
        <v>580.0</v>
      </c>
      <c r="I33" s="56">
        <v>580.0</v>
      </c>
      <c r="J33" s="56">
        <v>480.0</v>
      </c>
      <c r="K33" s="56">
        <v>460.0</v>
      </c>
      <c r="L33" s="56">
        <v>450.0</v>
      </c>
      <c r="M33" s="65">
        <f t="shared" si="7"/>
        <v>561</v>
      </c>
      <c r="N33" s="59">
        <f t="shared" si="8"/>
        <v>690</v>
      </c>
      <c r="O33" s="60">
        <f t="shared" si="9"/>
        <v>663</v>
      </c>
      <c r="P33" s="45"/>
      <c r="R33" s="45"/>
      <c r="T33" s="45"/>
      <c r="V33" s="45"/>
    </row>
    <row r="34">
      <c r="A34" s="32"/>
      <c r="B34" s="66" t="s">
        <v>18</v>
      </c>
      <c r="C34" s="56">
        <v>598.443</v>
      </c>
      <c r="D34" s="56">
        <v>693.675</v>
      </c>
      <c r="E34" s="56">
        <v>612.551</v>
      </c>
      <c r="F34" s="56">
        <v>667.219</v>
      </c>
      <c r="G34" s="56">
        <v>505.014</v>
      </c>
      <c r="H34" s="56">
        <v>587.689</v>
      </c>
      <c r="I34" s="56">
        <v>581.169</v>
      </c>
      <c r="J34" s="56">
        <v>475.444</v>
      </c>
      <c r="K34" s="56">
        <v>461.366</v>
      </c>
      <c r="L34" s="56">
        <v>461.998</v>
      </c>
      <c r="M34" s="58">
        <f t="shared" si="7"/>
        <v>564.4568</v>
      </c>
      <c r="N34" s="59">
        <f t="shared" si="8"/>
        <v>693.675</v>
      </c>
      <c r="O34" s="60">
        <f t="shared" si="9"/>
        <v>669.8646</v>
      </c>
      <c r="P34" s="45"/>
      <c r="R34" s="45"/>
      <c r="T34" s="45"/>
      <c r="V34" s="45"/>
    </row>
    <row r="35">
      <c r="A35" s="25" t="s">
        <v>21</v>
      </c>
      <c r="B35" s="5" t="s">
        <v>17</v>
      </c>
      <c r="C35" s="27">
        <v>930.0</v>
      </c>
      <c r="D35" s="27">
        <v>1300.0</v>
      </c>
      <c r="E35" s="27">
        <v>1180.0</v>
      </c>
      <c r="F35" s="27">
        <v>1270.0</v>
      </c>
      <c r="G35" s="27">
        <v>1020.0</v>
      </c>
      <c r="H35" s="27">
        <v>850.0</v>
      </c>
      <c r="I35" s="27">
        <v>1180.0</v>
      </c>
      <c r="J35" s="27">
        <v>880.0</v>
      </c>
      <c r="K35" s="27">
        <v>1310.0</v>
      </c>
      <c r="L35" s="27">
        <v>1250.0</v>
      </c>
      <c r="M35" s="29">
        <f t="shared" si="7"/>
        <v>1117</v>
      </c>
      <c r="N35" s="30">
        <f t="shared" si="8"/>
        <v>1310</v>
      </c>
      <c r="O35" s="31">
        <f t="shared" si="9"/>
        <v>1301</v>
      </c>
      <c r="P35" s="45"/>
      <c r="R35" s="45"/>
      <c r="T35" s="45"/>
      <c r="V35" s="45"/>
    </row>
    <row r="36">
      <c r="A36" s="32"/>
      <c r="B36" s="62" t="s">
        <v>18</v>
      </c>
      <c r="C36" s="27">
        <v>940.919</v>
      </c>
      <c r="D36" s="27">
        <v>1290.36</v>
      </c>
      <c r="E36" s="27">
        <v>1181.61</v>
      </c>
      <c r="F36" s="27">
        <v>1277.62</v>
      </c>
      <c r="G36" s="27">
        <v>1031.18</v>
      </c>
      <c r="H36" s="27">
        <v>851.646</v>
      </c>
      <c r="I36" s="27">
        <v>1168.51</v>
      </c>
      <c r="J36" s="27">
        <v>873.874</v>
      </c>
      <c r="K36" s="27">
        <v>1319.04</v>
      </c>
      <c r="L36" s="27">
        <v>1258.53</v>
      </c>
      <c r="M36" s="63">
        <f t="shared" si="7"/>
        <v>1119.3289</v>
      </c>
      <c r="N36" s="30">
        <f t="shared" si="8"/>
        <v>1319.04</v>
      </c>
      <c r="O36" s="31">
        <f t="shared" si="9"/>
        <v>1293.228</v>
      </c>
      <c r="P36" s="45"/>
      <c r="R36" s="45"/>
      <c r="T36" s="45"/>
      <c r="V36" s="45"/>
    </row>
    <row r="37">
      <c r="A37" s="46" t="s">
        <v>22</v>
      </c>
      <c r="B37" s="47" t="s">
        <v>17</v>
      </c>
      <c r="C37" s="56">
        <v>1790.0</v>
      </c>
      <c r="D37" s="56">
        <v>1730.0</v>
      </c>
      <c r="E37" s="56">
        <v>2000.0</v>
      </c>
      <c r="F37" s="56">
        <v>2250.0</v>
      </c>
      <c r="G37" s="56">
        <v>1940.0</v>
      </c>
      <c r="H37" s="56">
        <v>2300.0</v>
      </c>
      <c r="I37" s="56">
        <v>2120.0</v>
      </c>
      <c r="J37" s="56">
        <v>1530.0</v>
      </c>
      <c r="K37" s="56">
        <v>2220.0</v>
      </c>
      <c r="L37" s="56">
        <v>2040.0</v>
      </c>
      <c r="M37" s="65">
        <f t="shared" si="7"/>
        <v>1992</v>
      </c>
      <c r="N37" s="59">
        <f t="shared" si="8"/>
        <v>2300</v>
      </c>
      <c r="O37" s="60">
        <f t="shared" si="9"/>
        <v>2255</v>
      </c>
      <c r="P37" s="45"/>
      <c r="R37" s="45"/>
      <c r="T37" s="45"/>
      <c r="V37" s="45"/>
    </row>
    <row r="38">
      <c r="A38" s="32"/>
      <c r="B38" s="67" t="s">
        <v>18</v>
      </c>
      <c r="C38" s="69">
        <v>1798.64</v>
      </c>
      <c r="D38" s="69">
        <v>1732.47</v>
      </c>
      <c r="E38" s="69">
        <v>2002.85</v>
      </c>
      <c r="F38" s="69">
        <v>2254.32</v>
      </c>
      <c r="G38" s="69">
        <v>1951.2</v>
      </c>
      <c r="H38" s="69">
        <v>2303.81</v>
      </c>
      <c r="I38" s="69">
        <v>2119.08</v>
      </c>
      <c r="J38" s="69">
        <v>1531.7</v>
      </c>
      <c r="K38" s="69">
        <v>2223.42</v>
      </c>
      <c r="L38" s="69">
        <v>2049.46</v>
      </c>
      <c r="M38" s="71">
        <f t="shared" si="7"/>
        <v>1996.695</v>
      </c>
      <c r="N38" s="72">
        <f t="shared" si="8"/>
        <v>2303.81</v>
      </c>
      <c r="O38" s="73">
        <f t="shared" si="9"/>
        <v>2259.269</v>
      </c>
      <c r="P38" s="45"/>
      <c r="R38" s="45"/>
      <c r="T38" s="45"/>
      <c r="V38" s="45"/>
    </row>
    <row r="39">
      <c r="O39" s="41"/>
      <c r="P39" s="45"/>
      <c r="R39" s="45"/>
      <c r="T39" s="45"/>
      <c r="V39" s="45"/>
    </row>
    <row r="40">
      <c r="A40" s="74"/>
      <c r="P40" s="45"/>
      <c r="R40" s="45"/>
      <c r="T40" s="45"/>
      <c r="V40" s="45"/>
    </row>
    <row r="41">
      <c r="O41" s="41"/>
      <c r="P41" s="45"/>
      <c r="R41" s="45"/>
      <c r="T41" s="45"/>
      <c r="V41" s="45"/>
    </row>
    <row r="42">
      <c r="A42" s="1" t="s">
        <v>58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5"/>
      <c r="R42" s="45"/>
      <c r="T42" s="45"/>
      <c r="V42" s="45"/>
    </row>
    <row r="43">
      <c r="A43" s="4" t="s">
        <v>1</v>
      </c>
      <c r="B43" s="4" t="s">
        <v>2</v>
      </c>
      <c r="C43" s="6" t="s">
        <v>3</v>
      </c>
      <c r="D43" s="6" t="s">
        <v>4</v>
      </c>
      <c r="E43" s="6" t="s">
        <v>5</v>
      </c>
      <c r="F43" s="6" t="s">
        <v>6</v>
      </c>
      <c r="G43" s="6" t="s">
        <v>7</v>
      </c>
      <c r="H43" s="6" t="s">
        <v>8</v>
      </c>
      <c r="I43" s="6" t="s">
        <v>9</v>
      </c>
      <c r="J43" s="6" t="s">
        <v>10</v>
      </c>
      <c r="K43" s="6" t="s">
        <v>11</v>
      </c>
      <c r="L43" s="6" t="s">
        <v>12</v>
      </c>
      <c r="M43" s="7" t="s">
        <v>13</v>
      </c>
      <c r="N43" s="7" t="s">
        <v>14</v>
      </c>
      <c r="O43" s="8" t="s">
        <v>15</v>
      </c>
      <c r="P43" s="45"/>
      <c r="R43" s="45"/>
      <c r="T43" s="45"/>
      <c r="V43" s="45"/>
    </row>
    <row r="44">
      <c r="A44" s="75" t="s">
        <v>16</v>
      </c>
      <c r="B44" s="76" t="s">
        <v>17</v>
      </c>
      <c r="C44" s="77">
        <v>170.0</v>
      </c>
      <c r="D44" s="78">
        <v>210.0</v>
      </c>
      <c r="E44" s="78">
        <v>170.0</v>
      </c>
      <c r="F44" s="78">
        <v>210.0</v>
      </c>
      <c r="G44" s="78">
        <v>150.0</v>
      </c>
      <c r="H44" s="78">
        <v>260.0</v>
      </c>
      <c r="I44" s="78">
        <v>220.0</v>
      </c>
      <c r="J44" s="78">
        <v>210.0</v>
      </c>
      <c r="K44" s="78">
        <v>140.0</v>
      </c>
      <c r="L44" s="79">
        <v>210.0</v>
      </c>
      <c r="M44" s="80">
        <f t="shared" ref="M44:M53" si="10">AVERAGE(C44:L44)</f>
        <v>195</v>
      </c>
      <c r="N44" s="81">
        <f t="shared" ref="N44:N53" si="11">MAX(C44:L44)</f>
        <v>260</v>
      </c>
      <c r="O44" s="82">
        <f t="shared" ref="O44:O53" si="12">_xlfn.PERCENTILE.INC(C44:L44, 0.9)</f>
        <v>224</v>
      </c>
      <c r="P44" s="45"/>
      <c r="R44" s="45"/>
      <c r="T44" s="45"/>
      <c r="V44" s="45"/>
    </row>
    <row r="45">
      <c r="A45" s="32"/>
      <c r="B45" s="83" t="s">
        <v>18</v>
      </c>
      <c r="C45" s="84">
        <v>167.584</v>
      </c>
      <c r="D45" s="85">
        <v>215.659</v>
      </c>
      <c r="E45" s="85">
        <v>170.373</v>
      </c>
      <c r="F45" s="85">
        <v>209.661</v>
      </c>
      <c r="G45" s="85">
        <v>145.062</v>
      </c>
      <c r="H45" s="85">
        <v>509.657</v>
      </c>
      <c r="I45" s="85">
        <v>214.52</v>
      </c>
      <c r="J45" s="85">
        <v>223.478</v>
      </c>
      <c r="K45" s="85">
        <v>147.001</v>
      </c>
      <c r="L45" s="86">
        <v>397.376</v>
      </c>
      <c r="M45" s="87">
        <f t="shared" si="10"/>
        <v>240.0371</v>
      </c>
      <c r="N45" s="88">
        <f t="shared" si="11"/>
        <v>509.657</v>
      </c>
      <c r="O45" s="89">
        <f t="shared" si="12"/>
        <v>408.6041</v>
      </c>
      <c r="P45" s="45"/>
      <c r="R45" s="45"/>
      <c r="T45" s="45"/>
      <c r="V45" s="45"/>
    </row>
    <row r="46">
      <c r="A46" s="25" t="s">
        <v>19</v>
      </c>
      <c r="B46" s="5" t="s">
        <v>17</v>
      </c>
      <c r="C46" s="26">
        <v>300.0</v>
      </c>
      <c r="D46" s="27">
        <v>360.0</v>
      </c>
      <c r="E46" s="27">
        <v>270.0</v>
      </c>
      <c r="F46" s="27">
        <v>420.0</v>
      </c>
      <c r="G46" s="27">
        <v>360.0</v>
      </c>
      <c r="H46" s="27">
        <v>410.0</v>
      </c>
      <c r="I46" s="27">
        <v>470.0</v>
      </c>
      <c r="J46" s="27">
        <v>410.0</v>
      </c>
      <c r="K46" s="27">
        <v>280.0</v>
      </c>
      <c r="L46" s="28">
        <v>390.0</v>
      </c>
      <c r="M46" s="29">
        <f t="shared" si="10"/>
        <v>367</v>
      </c>
      <c r="N46" s="30">
        <f t="shared" si="11"/>
        <v>470</v>
      </c>
      <c r="O46" s="31">
        <f t="shared" si="12"/>
        <v>425</v>
      </c>
      <c r="P46" s="45"/>
      <c r="R46" s="45"/>
      <c r="T46" s="45"/>
      <c r="V46" s="45"/>
    </row>
    <row r="47">
      <c r="A47" s="32"/>
      <c r="B47" s="62" t="s">
        <v>18</v>
      </c>
      <c r="C47" s="26">
        <v>300.903</v>
      </c>
      <c r="D47" s="27">
        <v>361.024</v>
      </c>
      <c r="E47" s="27">
        <v>269.227</v>
      </c>
      <c r="F47" s="27">
        <v>655.283</v>
      </c>
      <c r="G47" s="27">
        <v>352.678</v>
      </c>
      <c r="H47" s="27">
        <v>466.52</v>
      </c>
      <c r="I47" s="27">
        <v>473.959</v>
      </c>
      <c r="J47" s="27">
        <v>719.326</v>
      </c>
      <c r="K47" s="27">
        <v>280.331</v>
      </c>
      <c r="L47" s="28">
        <v>426.625</v>
      </c>
      <c r="M47" s="63">
        <f t="shared" si="10"/>
        <v>430.5876</v>
      </c>
      <c r="N47" s="30">
        <f t="shared" si="11"/>
        <v>719.326</v>
      </c>
      <c r="O47" s="31">
        <f t="shared" si="12"/>
        <v>661.6873</v>
      </c>
      <c r="P47" s="45"/>
      <c r="R47" s="45"/>
      <c r="T47" s="45"/>
      <c r="V47" s="45"/>
    </row>
    <row r="48">
      <c r="A48" s="75" t="s">
        <v>20</v>
      </c>
      <c r="B48" s="76" t="s">
        <v>17</v>
      </c>
      <c r="C48" s="84">
        <v>610.0</v>
      </c>
      <c r="D48" s="85">
        <v>620.0</v>
      </c>
      <c r="E48" s="85">
        <v>510.0</v>
      </c>
      <c r="F48" s="85">
        <v>620.0</v>
      </c>
      <c r="G48" s="85">
        <v>830.0</v>
      </c>
      <c r="H48" s="85">
        <v>640.0</v>
      </c>
      <c r="I48" s="85">
        <v>760.0</v>
      </c>
      <c r="J48" s="85">
        <v>660.0</v>
      </c>
      <c r="K48" s="85">
        <v>770.0</v>
      </c>
      <c r="L48" s="86">
        <v>580.0</v>
      </c>
      <c r="M48" s="90">
        <f t="shared" si="10"/>
        <v>660</v>
      </c>
      <c r="N48" s="88">
        <f t="shared" si="11"/>
        <v>830</v>
      </c>
      <c r="O48" s="89">
        <f t="shared" si="12"/>
        <v>776</v>
      </c>
      <c r="P48" s="45"/>
      <c r="R48" s="45"/>
      <c r="T48" s="45"/>
      <c r="V48" s="45"/>
    </row>
    <row r="49">
      <c r="A49" s="32"/>
      <c r="B49" s="91" t="s">
        <v>18</v>
      </c>
      <c r="C49" s="84">
        <v>608.871</v>
      </c>
      <c r="D49" s="85">
        <v>649.697</v>
      </c>
      <c r="E49" s="85">
        <v>508.033</v>
      </c>
      <c r="F49" s="85">
        <v>619.391</v>
      </c>
      <c r="G49" s="85">
        <v>989.513</v>
      </c>
      <c r="H49" s="85">
        <v>647.982</v>
      </c>
      <c r="I49" s="85">
        <v>977.125</v>
      </c>
      <c r="J49" s="85">
        <v>672.873</v>
      </c>
      <c r="K49" s="85">
        <v>995.199</v>
      </c>
      <c r="L49" s="86">
        <v>587.458</v>
      </c>
      <c r="M49" s="87">
        <f t="shared" si="10"/>
        <v>725.6142</v>
      </c>
      <c r="N49" s="88">
        <f t="shared" si="11"/>
        <v>995.199</v>
      </c>
      <c r="O49" s="89">
        <f t="shared" si="12"/>
        <v>990.0816</v>
      </c>
      <c r="P49" s="45"/>
      <c r="R49" s="45"/>
      <c r="T49" s="45"/>
      <c r="V49" s="45"/>
    </row>
    <row r="50">
      <c r="A50" s="25" t="s">
        <v>21</v>
      </c>
      <c r="B50" s="5" t="s">
        <v>17</v>
      </c>
      <c r="C50" s="26">
        <v>1390.0</v>
      </c>
      <c r="D50" s="27">
        <v>970.0</v>
      </c>
      <c r="E50" s="27">
        <v>1740.0</v>
      </c>
      <c r="F50" s="27">
        <v>940.0</v>
      </c>
      <c r="G50" s="27">
        <v>1440.0</v>
      </c>
      <c r="H50" s="27">
        <v>950.0</v>
      </c>
      <c r="I50" s="27">
        <v>1160.0</v>
      </c>
      <c r="J50" s="27">
        <v>990.0</v>
      </c>
      <c r="K50" s="27">
        <v>1540.0</v>
      </c>
      <c r="L50" s="28">
        <v>1800.0</v>
      </c>
      <c r="M50" s="29">
        <f t="shared" si="10"/>
        <v>1292</v>
      </c>
      <c r="N50" s="30">
        <f t="shared" si="11"/>
        <v>1800</v>
      </c>
      <c r="O50" s="31">
        <f t="shared" si="12"/>
        <v>1746</v>
      </c>
      <c r="P50" s="45"/>
      <c r="R50" s="45"/>
      <c r="T50" s="45"/>
      <c r="V50" s="45"/>
    </row>
    <row r="51">
      <c r="A51" s="32"/>
      <c r="B51" s="62" t="s">
        <v>18</v>
      </c>
      <c r="C51" s="26">
        <v>1413.19</v>
      </c>
      <c r="D51" s="27">
        <v>984.045</v>
      </c>
      <c r="E51" s="27">
        <v>3038.87</v>
      </c>
      <c r="F51" s="27">
        <v>939.489</v>
      </c>
      <c r="G51" s="27">
        <v>1637.44</v>
      </c>
      <c r="H51" s="27">
        <v>953.246</v>
      </c>
      <c r="I51" s="27">
        <v>1163.65</v>
      </c>
      <c r="J51" s="27">
        <v>992.407</v>
      </c>
      <c r="K51" s="27">
        <v>1673.3</v>
      </c>
      <c r="L51" s="28">
        <v>2342.76</v>
      </c>
      <c r="M51" s="63">
        <f t="shared" si="10"/>
        <v>1513.8397</v>
      </c>
      <c r="N51" s="30">
        <f t="shared" si="11"/>
        <v>3038.87</v>
      </c>
      <c r="O51" s="31">
        <f t="shared" si="12"/>
        <v>2412.371</v>
      </c>
      <c r="P51" s="45"/>
      <c r="R51" s="45"/>
      <c r="T51" s="45"/>
      <c r="V51" s="45"/>
    </row>
    <row r="52">
      <c r="A52" s="75" t="s">
        <v>22</v>
      </c>
      <c r="B52" s="76" t="s">
        <v>17</v>
      </c>
      <c r="C52" s="84">
        <v>2430.0</v>
      </c>
      <c r="D52" s="85">
        <v>2420.0</v>
      </c>
      <c r="E52" s="85">
        <v>3080.0</v>
      </c>
      <c r="F52" s="85">
        <v>1860.0</v>
      </c>
      <c r="G52" s="85">
        <v>3160.0</v>
      </c>
      <c r="H52" s="85">
        <v>2580.0</v>
      </c>
      <c r="I52" s="85">
        <v>2590.0</v>
      </c>
      <c r="J52" s="85">
        <v>2610.0</v>
      </c>
      <c r="K52" s="85">
        <v>2620.0</v>
      </c>
      <c r="L52" s="86">
        <v>1650.0</v>
      </c>
      <c r="M52" s="90">
        <f t="shared" si="10"/>
        <v>2500</v>
      </c>
      <c r="N52" s="88">
        <f t="shared" si="11"/>
        <v>3160</v>
      </c>
      <c r="O52" s="89">
        <f t="shared" si="12"/>
        <v>3088</v>
      </c>
      <c r="P52" s="45"/>
      <c r="R52" s="45"/>
      <c r="T52" s="45"/>
      <c r="V52" s="45"/>
    </row>
    <row r="53">
      <c r="A53" s="32"/>
      <c r="B53" s="92" t="s">
        <v>18</v>
      </c>
      <c r="C53" s="93">
        <v>2951.3</v>
      </c>
      <c r="D53" s="94">
        <v>3548.3</v>
      </c>
      <c r="E53" s="94">
        <v>4456.56</v>
      </c>
      <c r="F53" s="94">
        <v>1861.91</v>
      </c>
      <c r="G53" s="94">
        <v>5401.65</v>
      </c>
      <c r="H53" s="94">
        <v>2570.02</v>
      </c>
      <c r="I53" s="94">
        <v>3795.49</v>
      </c>
      <c r="J53" s="94">
        <v>2613.38</v>
      </c>
      <c r="K53" s="94">
        <v>3904.24</v>
      </c>
      <c r="L53" s="95">
        <v>1663.72</v>
      </c>
      <c r="M53" s="96">
        <f t="shared" si="10"/>
        <v>3276.657</v>
      </c>
      <c r="N53" s="97">
        <f t="shared" si="11"/>
        <v>5401.65</v>
      </c>
      <c r="O53" s="98">
        <f t="shared" si="12"/>
        <v>4551.069</v>
      </c>
      <c r="P53" s="45"/>
      <c r="R53" s="45"/>
      <c r="T53" s="45"/>
      <c r="V53" s="45"/>
    </row>
    <row r="54">
      <c r="O54" s="41"/>
      <c r="P54" s="45"/>
      <c r="R54" s="45"/>
      <c r="T54" s="45"/>
      <c r="V54" s="45"/>
    </row>
    <row r="55">
      <c r="A55" s="1" t="s">
        <v>59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5"/>
      <c r="R55" s="45"/>
      <c r="T55" s="45"/>
      <c r="V55" s="45"/>
    </row>
    <row r="56">
      <c r="A56" s="4" t="s">
        <v>1</v>
      </c>
      <c r="B56" s="4" t="s">
        <v>2</v>
      </c>
      <c r="C56" s="6" t="s">
        <v>3</v>
      </c>
      <c r="D56" s="6" t="s">
        <v>4</v>
      </c>
      <c r="E56" s="6" t="s">
        <v>5</v>
      </c>
      <c r="F56" s="6" t="s">
        <v>6</v>
      </c>
      <c r="G56" s="6" t="s">
        <v>7</v>
      </c>
      <c r="H56" s="6" t="s">
        <v>8</v>
      </c>
      <c r="I56" s="6" t="s">
        <v>9</v>
      </c>
      <c r="J56" s="6" t="s">
        <v>10</v>
      </c>
      <c r="K56" s="6" t="s">
        <v>11</v>
      </c>
      <c r="L56" s="6" t="s">
        <v>12</v>
      </c>
      <c r="M56" s="7" t="s">
        <v>13</v>
      </c>
      <c r="N56" s="7" t="s">
        <v>14</v>
      </c>
      <c r="O56" s="8" t="s">
        <v>15</v>
      </c>
      <c r="P56" s="45"/>
      <c r="R56" s="45"/>
      <c r="T56" s="45"/>
      <c r="V56" s="45"/>
    </row>
    <row r="57">
      <c r="A57" s="75" t="s">
        <v>16</v>
      </c>
      <c r="B57" s="76" t="s">
        <v>17</v>
      </c>
      <c r="C57" s="77">
        <v>420.0</v>
      </c>
      <c r="D57" s="78">
        <v>320.0</v>
      </c>
      <c r="E57" s="78">
        <v>240.0</v>
      </c>
      <c r="F57" s="78">
        <v>370.0</v>
      </c>
      <c r="G57" s="78">
        <v>350.0</v>
      </c>
      <c r="H57" s="78">
        <v>150.0</v>
      </c>
      <c r="I57" s="78">
        <v>150.0</v>
      </c>
      <c r="J57" s="78">
        <v>550.0</v>
      </c>
      <c r="K57" s="78">
        <v>240.0</v>
      </c>
      <c r="L57" s="79">
        <v>150.0</v>
      </c>
      <c r="M57" s="80">
        <f t="shared" ref="M57:M66" si="13">AVERAGE(C57:L57)</f>
        <v>294</v>
      </c>
      <c r="N57" s="81">
        <f t="shared" ref="N57:N66" si="14">MAX(C57:L57)</f>
        <v>550</v>
      </c>
      <c r="O57" s="82">
        <f t="shared" ref="O57:O66" si="15">_xlfn.PERCENTILE.INC(C57:L57, 0.9)</f>
        <v>433</v>
      </c>
      <c r="P57" s="45"/>
      <c r="R57" s="45"/>
      <c r="T57" s="45"/>
      <c r="V57" s="45"/>
    </row>
    <row r="58">
      <c r="A58" s="32"/>
      <c r="B58" s="83" t="s">
        <v>18</v>
      </c>
      <c r="C58" s="84">
        <v>425.493</v>
      </c>
      <c r="D58" s="85">
        <v>319.811</v>
      </c>
      <c r="E58" s="85">
        <v>251.559</v>
      </c>
      <c r="F58" s="85">
        <v>368.027</v>
      </c>
      <c r="G58" s="85">
        <v>354.206</v>
      </c>
      <c r="H58" s="85">
        <v>154.066</v>
      </c>
      <c r="I58" s="85">
        <v>146.927</v>
      </c>
      <c r="J58" s="85">
        <v>994.486</v>
      </c>
      <c r="K58" s="85">
        <v>243.363</v>
      </c>
      <c r="L58" s="86">
        <v>149.558</v>
      </c>
      <c r="M58" s="87">
        <f t="shared" si="13"/>
        <v>340.7496</v>
      </c>
      <c r="N58" s="88">
        <f t="shared" si="14"/>
        <v>994.486</v>
      </c>
      <c r="O58" s="89">
        <f t="shared" si="15"/>
        <v>482.3923</v>
      </c>
      <c r="P58" s="45"/>
      <c r="R58" s="45"/>
      <c r="T58" s="45"/>
      <c r="V58" s="45"/>
    </row>
    <row r="59">
      <c r="A59" s="25" t="s">
        <v>19</v>
      </c>
      <c r="B59" s="5" t="s">
        <v>17</v>
      </c>
      <c r="C59" s="26">
        <v>1380.0</v>
      </c>
      <c r="D59" s="27">
        <v>610.0</v>
      </c>
      <c r="E59" s="27">
        <v>1360.0</v>
      </c>
      <c r="F59" s="27">
        <v>720.0</v>
      </c>
      <c r="G59" s="27">
        <v>800.0</v>
      </c>
      <c r="H59" s="27">
        <v>450.0</v>
      </c>
      <c r="I59" s="27">
        <v>270.0</v>
      </c>
      <c r="J59" s="27">
        <v>1040.0</v>
      </c>
      <c r="K59" s="27">
        <v>410.0</v>
      </c>
      <c r="L59" s="28">
        <v>790.0</v>
      </c>
      <c r="M59" s="29">
        <f t="shared" si="13"/>
        <v>783</v>
      </c>
      <c r="N59" s="30">
        <f t="shared" si="14"/>
        <v>1380</v>
      </c>
      <c r="O59" s="31">
        <f t="shared" si="15"/>
        <v>1362</v>
      </c>
      <c r="P59" s="45"/>
      <c r="R59" s="45"/>
      <c r="T59" s="45"/>
      <c r="V59" s="45"/>
    </row>
    <row r="60">
      <c r="A60" s="32"/>
      <c r="B60" s="62" t="s">
        <v>18</v>
      </c>
      <c r="C60" s="26">
        <v>1389.16</v>
      </c>
      <c r="D60" s="27">
        <v>608.646</v>
      </c>
      <c r="E60" s="27">
        <v>1400.78</v>
      </c>
      <c r="F60" s="27">
        <v>723.461</v>
      </c>
      <c r="G60" s="27">
        <v>806.392</v>
      </c>
      <c r="H60" s="27">
        <v>445.323</v>
      </c>
      <c r="I60" s="27">
        <v>277.537</v>
      </c>
      <c r="J60" s="27">
        <v>1061.49</v>
      </c>
      <c r="K60" s="27">
        <v>414.212</v>
      </c>
      <c r="L60" s="28">
        <v>795.023</v>
      </c>
      <c r="M60" s="63">
        <f t="shared" si="13"/>
        <v>792.2024</v>
      </c>
      <c r="N60" s="30">
        <f t="shared" si="14"/>
        <v>1400.78</v>
      </c>
      <c r="O60" s="31">
        <f t="shared" si="15"/>
        <v>1390.322</v>
      </c>
      <c r="P60" s="45"/>
      <c r="R60" s="45"/>
      <c r="T60" s="45"/>
      <c r="V60" s="45"/>
    </row>
    <row r="61">
      <c r="A61" s="75" t="s">
        <v>20</v>
      </c>
      <c r="B61" s="76" t="s">
        <v>17</v>
      </c>
      <c r="C61" s="84">
        <v>1610.0</v>
      </c>
      <c r="D61" s="85">
        <v>1980.0</v>
      </c>
      <c r="E61" s="85">
        <v>2090.0</v>
      </c>
      <c r="F61" s="85">
        <v>3270.0</v>
      </c>
      <c r="G61" s="85">
        <v>3680.0</v>
      </c>
      <c r="H61" s="85">
        <v>1380.0</v>
      </c>
      <c r="I61" s="85">
        <v>870.0</v>
      </c>
      <c r="J61" s="85">
        <v>1700.0</v>
      </c>
      <c r="K61" s="85">
        <v>1150.0</v>
      </c>
      <c r="L61" s="86">
        <v>690.0</v>
      </c>
      <c r="M61" s="90">
        <f t="shared" si="13"/>
        <v>1842</v>
      </c>
      <c r="N61" s="88">
        <f t="shared" si="14"/>
        <v>3680</v>
      </c>
      <c r="O61" s="89">
        <f t="shared" si="15"/>
        <v>3311</v>
      </c>
      <c r="P61" s="45"/>
      <c r="R61" s="45"/>
      <c r="T61" s="45"/>
      <c r="V61" s="45"/>
    </row>
    <row r="62">
      <c r="A62" s="32"/>
      <c r="B62" s="91" t="s">
        <v>18</v>
      </c>
      <c r="C62" s="84">
        <v>1609.45</v>
      </c>
      <c r="D62" s="85">
        <v>2424.1</v>
      </c>
      <c r="E62" s="85">
        <v>2099.84</v>
      </c>
      <c r="F62" s="85">
        <v>3341.11</v>
      </c>
      <c r="G62" s="85">
        <v>3976.88</v>
      </c>
      <c r="H62" s="85">
        <v>1699.42</v>
      </c>
      <c r="I62" s="85">
        <v>876.172</v>
      </c>
      <c r="J62" s="85">
        <v>1702.55</v>
      </c>
      <c r="K62" s="85">
        <v>1176.91</v>
      </c>
      <c r="L62" s="86">
        <v>689.087</v>
      </c>
      <c r="M62" s="87">
        <f t="shared" si="13"/>
        <v>1959.5519</v>
      </c>
      <c r="N62" s="88">
        <f t="shared" si="14"/>
        <v>3976.88</v>
      </c>
      <c r="O62" s="89">
        <f t="shared" si="15"/>
        <v>3404.687</v>
      </c>
      <c r="P62" s="45"/>
      <c r="R62" s="45"/>
      <c r="T62" s="45"/>
      <c r="V62" s="45"/>
    </row>
    <row r="63">
      <c r="A63" s="25" t="s">
        <v>21</v>
      </c>
      <c r="B63" s="5" t="s">
        <v>17</v>
      </c>
      <c r="C63" s="26">
        <v>2490.0</v>
      </c>
      <c r="D63" s="27">
        <v>5810.0</v>
      </c>
      <c r="E63" s="27">
        <v>2940.0</v>
      </c>
      <c r="F63" s="27">
        <v>2400.0</v>
      </c>
      <c r="G63" s="27">
        <v>4840.0</v>
      </c>
      <c r="H63" s="27">
        <v>4330.0</v>
      </c>
      <c r="I63" s="27">
        <v>1460.0</v>
      </c>
      <c r="J63" s="27">
        <v>1960.0</v>
      </c>
      <c r="K63" s="27">
        <v>1660.0</v>
      </c>
      <c r="L63" s="28">
        <v>1580.0</v>
      </c>
      <c r="M63" s="29">
        <f t="shared" si="13"/>
        <v>2947</v>
      </c>
      <c r="N63" s="30">
        <f t="shared" si="14"/>
        <v>5810</v>
      </c>
      <c r="O63" s="31">
        <f t="shared" si="15"/>
        <v>4937</v>
      </c>
      <c r="P63" s="45"/>
      <c r="R63" s="45"/>
      <c r="T63" s="45"/>
      <c r="V63" s="45"/>
    </row>
    <row r="64">
      <c r="A64" s="32"/>
      <c r="B64" s="62" t="s">
        <v>18</v>
      </c>
      <c r="C64" s="26">
        <v>2498.74</v>
      </c>
      <c r="D64" s="27">
        <v>5823.55</v>
      </c>
      <c r="E64" s="27">
        <v>2954.28</v>
      </c>
      <c r="F64" s="27">
        <v>2417.56</v>
      </c>
      <c r="G64" s="27">
        <v>4851.92</v>
      </c>
      <c r="H64" s="27">
        <v>4342.65</v>
      </c>
      <c r="I64" s="27">
        <v>1465.43</v>
      </c>
      <c r="J64" s="27">
        <v>2051.28</v>
      </c>
      <c r="K64" s="27">
        <v>1661.58</v>
      </c>
      <c r="L64" s="28">
        <v>2363.71</v>
      </c>
      <c r="M64" s="63">
        <f t="shared" si="13"/>
        <v>3043.07</v>
      </c>
      <c r="N64" s="30">
        <f t="shared" si="14"/>
        <v>5823.55</v>
      </c>
      <c r="O64" s="31">
        <f t="shared" si="15"/>
        <v>4949.083</v>
      </c>
      <c r="P64" s="45"/>
      <c r="R64" s="45"/>
      <c r="T64" s="45"/>
      <c r="V64" s="45"/>
    </row>
    <row r="65">
      <c r="A65" s="75" t="s">
        <v>22</v>
      </c>
      <c r="B65" s="76" t="s">
        <v>17</v>
      </c>
      <c r="C65" s="84">
        <v>5440.0</v>
      </c>
      <c r="D65" s="85">
        <v>3380.0</v>
      </c>
      <c r="E65" s="85">
        <v>3850.0</v>
      </c>
      <c r="F65" s="85">
        <v>5140.0</v>
      </c>
      <c r="G65" s="85">
        <v>1860.0</v>
      </c>
      <c r="H65" s="85">
        <v>1770.0</v>
      </c>
      <c r="I65" s="85">
        <v>2820.0</v>
      </c>
      <c r="J65" s="85">
        <v>4260.0</v>
      </c>
      <c r="K65" s="85">
        <v>1910.0</v>
      </c>
      <c r="L65" s="86">
        <v>2280.0</v>
      </c>
      <c r="M65" s="90">
        <f t="shared" si="13"/>
        <v>3271</v>
      </c>
      <c r="N65" s="88">
        <f t="shared" si="14"/>
        <v>5440</v>
      </c>
      <c r="O65" s="89">
        <f t="shared" si="15"/>
        <v>5170</v>
      </c>
      <c r="P65" s="45"/>
      <c r="R65" s="45"/>
      <c r="T65" s="45"/>
      <c r="V65" s="45"/>
    </row>
    <row r="66">
      <c r="A66" s="32"/>
      <c r="B66" s="92" t="s">
        <v>18</v>
      </c>
      <c r="C66" s="93">
        <v>5460.58</v>
      </c>
      <c r="D66" s="94">
        <v>3389.51</v>
      </c>
      <c r="E66" s="94">
        <v>3854.98</v>
      </c>
      <c r="F66" s="94">
        <v>5138.69</v>
      </c>
      <c r="G66" s="94">
        <v>1855.58</v>
      </c>
      <c r="H66" s="94">
        <v>1782.14</v>
      </c>
      <c r="I66" s="94">
        <v>3635.34</v>
      </c>
      <c r="J66" s="94">
        <v>4267.98</v>
      </c>
      <c r="K66" s="94">
        <v>1914.79</v>
      </c>
      <c r="L66" s="95">
        <v>2288.43</v>
      </c>
      <c r="M66" s="96">
        <f t="shared" si="13"/>
        <v>3358.802</v>
      </c>
      <c r="N66" s="97">
        <f t="shared" si="14"/>
        <v>5460.58</v>
      </c>
      <c r="O66" s="98">
        <f t="shared" si="15"/>
        <v>5170.879</v>
      </c>
      <c r="P66" s="45"/>
      <c r="R66" s="45"/>
      <c r="T66" s="45"/>
      <c r="V66" s="45"/>
    </row>
    <row r="67">
      <c r="O67" s="41"/>
      <c r="P67" s="45"/>
      <c r="R67" s="45"/>
      <c r="T67" s="45"/>
      <c r="V67" s="45"/>
    </row>
    <row r="68">
      <c r="A68" s="1" t="s">
        <v>60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5"/>
      <c r="R68" s="45"/>
      <c r="T68" s="45"/>
      <c r="V68" s="45"/>
    </row>
    <row r="69">
      <c r="A69" s="4" t="s">
        <v>1</v>
      </c>
      <c r="B69" s="4" t="s">
        <v>2</v>
      </c>
      <c r="C69" s="6" t="s">
        <v>3</v>
      </c>
      <c r="D69" s="6" t="s">
        <v>4</v>
      </c>
      <c r="E69" s="6" t="s">
        <v>5</v>
      </c>
      <c r="F69" s="6" t="s">
        <v>6</v>
      </c>
      <c r="G69" s="6" t="s">
        <v>7</v>
      </c>
      <c r="H69" s="6" t="s">
        <v>8</v>
      </c>
      <c r="I69" s="6" t="s">
        <v>9</v>
      </c>
      <c r="J69" s="6" t="s">
        <v>10</v>
      </c>
      <c r="K69" s="6" t="s">
        <v>11</v>
      </c>
      <c r="L69" s="6" t="s">
        <v>12</v>
      </c>
      <c r="M69" s="7" t="s">
        <v>13</v>
      </c>
      <c r="N69" s="7" t="s">
        <v>14</v>
      </c>
      <c r="O69" s="8" t="s">
        <v>15</v>
      </c>
      <c r="P69" s="45"/>
      <c r="R69" s="45"/>
      <c r="T69" s="45"/>
      <c r="V69" s="45"/>
    </row>
    <row r="70">
      <c r="A70" s="75" t="s">
        <v>16</v>
      </c>
      <c r="B70" s="76" t="s">
        <v>17</v>
      </c>
      <c r="C70" s="77">
        <v>160.0</v>
      </c>
      <c r="D70" s="78">
        <v>170.0</v>
      </c>
      <c r="E70" s="78">
        <v>150.0</v>
      </c>
      <c r="F70" s="78">
        <v>160.0</v>
      </c>
      <c r="G70" s="78">
        <v>160.0</v>
      </c>
      <c r="H70" s="78">
        <v>180.0</v>
      </c>
      <c r="I70" s="78">
        <v>130.0</v>
      </c>
      <c r="J70" s="78">
        <v>130.0</v>
      </c>
      <c r="K70" s="78">
        <v>160.0</v>
      </c>
      <c r="L70" s="79">
        <v>130.0</v>
      </c>
      <c r="M70" s="80">
        <f t="shared" ref="M70:M79" si="16">AVERAGE(C70:L70)</f>
        <v>153</v>
      </c>
      <c r="N70" s="81">
        <f t="shared" ref="N70:N79" si="17">MAX(C70:L70)</f>
        <v>180</v>
      </c>
      <c r="O70" s="82">
        <f t="shared" ref="O70:O79" si="18">_xlfn.PERCENTILE.INC(C70:L70, 0.9)</f>
        <v>171</v>
      </c>
      <c r="P70" s="45"/>
      <c r="R70" s="45"/>
      <c r="T70" s="45"/>
      <c r="V70" s="45"/>
    </row>
    <row r="71">
      <c r="A71" s="32"/>
      <c r="B71" s="83" t="s">
        <v>18</v>
      </c>
      <c r="C71" s="84">
        <v>165.854</v>
      </c>
      <c r="D71" s="85">
        <v>164.735</v>
      </c>
      <c r="E71" s="85">
        <v>166.957</v>
      </c>
      <c r="F71" s="85">
        <v>163.786</v>
      </c>
      <c r="G71" s="85">
        <v>164.153</v>
      </c>
      <c r="H71" s="85">
        <v>165.047</v>
      </c>
      <c r="I71" s="85">
        <v>130.244</v>
      </c>
      <c r="J71" s="85">
        <v>137.865</v>
      </c>
      <c r="K71" s="85">
        <v>163.723</v>
      </c>
      <c r="L71" s="86">
        <v>130.782</v>
      </c>
      <c r="M71" s="87">
        <f t="shared" si="16"/>
        <v>155.3146</v>
      </c>
      <c r="N71" s="88">
        <f t="shared" si="17"/>
        <v>166.957</v>
      </c>
      <c r="O71" s="89">
        <f t="shared" si="18"/>
        <v>165.9643</v>
      </c>
      <c r="P71" s="45"/>
      <c r="R71" s="45"/>
      <c r="T71" s="45"/>
      <c r="V71" s="45"/>
    </row>
    <row r="72">
      <c r="A72" s="25" t="s">
        <v>19</v>
      </c>
      <c r="B72" s="5" t="s">
        <v>17</v>
      </c>
      <c r="C72" s="26">
        <v>250.0</v>
      </c>
      <c r="D72" s="27">
        <v>250.0</v>
      </c>
      <c r="E72" s="27">
        <v>250.0</v>
      </c>
      <c r="F72" s="27">
        <v>240.0</v>
      </c>
      <c r="G72" s="27">
        <v>250.0</v>
      </c>
      <c r="H72" s="27">
        <v>240.0</v>
      </c>
      <c r="I72" s="27">
        <v>350.0</v>
      </c>
      <c r="J72" s="27">
        <v>250.0</v>
      </c>
      <c r="K72" s="27">
        <v>250.0</v>
      </c>
      <c r="L72" s="28">
        <v>370.0</v>
      </c>
      <c r="M72" s="29">
        <f t="shared" si="16"/>
        <v>270</v>
      </c>
      <c r="N72" s="30">
        <f t="shared" si="17"/>
        <v>370</v>
      </c>
      <c r="O72" s="31">
        <f t="shared" si="18"/>
        <v>352</v>
      </c>
      <c r="P72" s="45"/>
      <c r="R72" s="45"/>
      <c r="T72" s="45"/>
      <c r="V72" s="45"/>
    </row>
    <row r="73">
      <c r="A73" s="32"/>
      <c r="B73" s="62" t="s">
        <v>18</v>
      </c>
      <c r="C73" s="26">
        <v>242.35</v>
      </c>
      <c r="D73" s="27">
        <v>242.749</v>
      </c>
      <c r="E73" s="27">
        <v>244.625</v>
      </c>
      <c r="F73" s="27">
        <v>241.738</v>
      </c>
      <c r="G73" s="27">
        <v>241.657</v>
      </c>
      <c r="H73" s="27">
        <v>242.411</v>
      </c>
      <c r="I73" s="27">
        <v>351.36</v>
      </c>
      <c r="J73" s="27">
        <v>242.543</v>
      </c>
      <c r="K73" s="27">
        <v>242.733</v>
      </c>
      <c r="L73" s="28">
        <v>369.829</v>
      </c>
      <c r="M73" s="63">
        <f t="shared" si="16"/>
        <v>266.1995</v>
      </c>
      <c r="N73" s="30">
        <f t="shared" si="17"/>
        <v>369.829</v>
      </c>
      <c r="O73" s="31">
        <f t="shared" si="18"/>
        <v>353.2069</v>
      </c>
      <c r="P73" s="45"/>
      <c r="R73" s="45"/>
      <c r="T73" s="45"/>
      <c r="V73" s="45"/>
    </row>
    <row r="74">
      <c r="A74" s="75" t="s">
        <v>20</v>
      </c>
      <c r="B74" s="76" t="s">
        <v>17</v>
      </c>
      <c r="C74" s="84">
        <v>610.0</v>
      </c>
      <c r="D74" s="85">
        <v>810.0</v>
      </c>
      <c r="E74" s="85">
        <v>640.0</v>
      </c>
      <c r="F74" s="85">
        <v>610.0</v>
      </c>
      <c r="G74" s="85">
        <v>610.0</v>
      </c>
      <c r="H74" s="85">
        <v>760.0</v>
      </c>
      <c r="I74" s="85">
        <v>530.0</v>
      </c>
      <c r="J74" s="85">
        <v>620.0</v>
      </c>
      <c r="K74" s="85">
        <v>620.0</v>
      </c>
      <c r="L74" s="86">
        <v>710.0</v>
      </c>
      <c r="M74" s="90">
        <f t="shared" si="16"/>
        <v>652</v>
      </c>
      <c r="N74" s="88">
        <f t="shared" si="17"/>
        <v>810</v>
      </c>
      <c r="O74" s="89">
        <f t="shared" si="18"/>
        <v>765</v>
      </c>
      <c r="P74" s="45"/>
      <c r="R74" s="45"/>
      <c r="T74" s="45"/>
      <c r="V74" s="45"/>
    </row>
    <row r="75">
      <c r="A75" s="32"/>
      <c r="B75" s="91" t="s">
        <v>18</v>
      </c>
      <c r="C75" s="84">
        <v>616.169</v>
      </c>
      <c r="D75" s="85">
        <v>809.967</v>
      </c>
      <c r="E75" s="85">
        <v>640.208</v>
      </c>
      <c r="F75" s="85">
        <v>617.035</v>
      </c>
      <c r="G75" s="85">
        <v>618.022</v>
      </c>
      <c r="H75" s="85">
        <v>760.197</v>
      </c>
      <c r="I75" s="85">
        <v>532.811</v>
      </c>
      <c r="J75" s="85">
        <v>618.072</v>
      </c>
      <c r="K75" s="85">
        <v>618.191</v>
      </c>
      <c r="L75" s="86">
        <v>698.113</v>
      </c>
      <c r="M75" s="87">
        <f t="shared" si="16"/>
        <v>652.8785</v>
      </c>
      <c r="N75" s="88">
        <f t="shared" si="17"/>
        <v>809.967</v>
      </c>
      <c r="O75" s="89">
        <f t="shared" si="18"/>
        <v>765.174</v>
      </c>
      <c r="P75" s="45"/>
      <c r="R75" s="45"/>
      <c r="T75" s="45"/>
      <c r="V75" s="45"/>
    </row>
    <row r="76">
      <c r="A76" s="25" t="s">
        <v>21</v>
      </c>
      <c r="B76" s="5" t="s">
        <v>17</v>
      </c>
      <c r="C76" s="26">
        <v>1120.0</v>
      </c>
      <c r="D76" s="27">
        <v>1070.0</v>
      </c>
      <c r="E76" s="27">
        <v>1070.0</v>
      </c>
      <c r="F76" s="27">
        <v>1070.0</v>
      </c>
      <c r="G76" s="27">
        <v>1070.0</v>
      </c>
      <c r="H76" s="27">
        <v>1300.0</v>
      </c>
      <c r="I76" s="27">
        <v>1300.0</v>
      </c>
      <c r="J76" s="27">
        <v>1390.0</v>
      </c>
      <c r="K76" s="27">
        <v>1280.0</v>
      </c>
      <c r="L76" s="28">
        <v>1190.0</v>
      </c>
      <c r="M76" s="29">
        <f t="shared" si="16"/>
        <v>1186</v>
      </c>
      <c r="N76" s="30">
        <f t="shared" si="17"/>
        <v>1390</v>
      </c>
      <c r="O76" s="31">
        <f t="shared" si="18"/>
        <v>1309</v>
      </c>
      <c r="P76" s="45"/>
      <c r="R76" s="45"/>
      <c r="T76" s="45"/>
      <c r="V76" s="45"/>
    </row>
    <row r="77">
      <c r="A77" s="32"/>
      <c r="B77" s="62" t="s">
        <v>18</v>
      </c>
      <c r="C77" s="26">
        <v>1119.43</v>
      </c>
      <c r="D77" s="27">
        <v>1076.93</v>
      </c>
      <c r="E77" s="27">
        <v>1068.96</v>
      </c>
      <c r="F77" s="27">
        <v>1072.09</v>
      </c>
      <c r="G77" s="27">
        <v>1075.81</v>
      </c>
      <c r="H77" s="27">
        <v>1299.46</v>
      </c>
      <c r="I77" s="27">
        <v>1298.99</v>
      </c>
      <c r="J77" s="27">
        <v>1396.57</v>
      </c>
      <c r="K77" s="27">
        <v>1298.7</v>
      </c>
      <c r="L77" s="28">
        <v>1198.06</v>
      </c>
      <c r="M77" s="63">
        <f t="shared" si="16"/>
        <v>1190.5</v>
      </c>
      <c r="N77" s="30">
        <f t="shared" si="17"/>
        <v>1396.57</v>
      </c>
      <c r="O77" s="31">
        <f t="shared" si="18"/>
        <v>1309.171</v>
      </c>
      <c r="P77" s="45"/>
      <c r="R77" s="45"/>
      <c r="T77" s="45"/>
      <c r="V77" s="45"/>
    </row>
    <row r="78">
      <c r="A78" s="75" t="s">
        <v>22</v>
      </c>
      <c r="B78" s="76" t="s">
        <v>17</v>
      </c>
      <c r="C78" s="84">
        <v>5200.0</v>
      </c>
      <c r="D78" s="85">
        <v>4610.0</v>
      </c>
      <c r="E78" s="85">
        <v>4900.0</v>
      </c>
      <c r="F78" s="85">
        <v>4580.0</v>
      </c>
      <c r="G78" s="85">
        <v>4620.0</v>
      </c>
      <c r="H78" s="85">
        <v>4620.0</v>
      </c>
      <c r="I78" s="85">
        <v>4500.0</v>
      </c>
      <c r="J78" s="85">
        <v>2930.0</v>
      </c>
      <c r="K78" s="85">
        <v>4600.0</v>
      </c>
      <c r="L78" s="86">
        <v>4430.0</v>
      </c>
      <c r="M78" s="90">
        <f t="shared" si="16"/>
        <v>4499</v>
      </c>
      <c r="N78" s="88">
        <f t="shared" si="17"/>
        <v>5200</v>
      </c>
      <c r="O78" s="89">
        <f t="shared" si="18"/>
        <v>4930</v>
      </c>
      <c r="P78" s="45"/>
      <c r="R78" s="45"/>
      <c r="T78" s="45"/>
      <c r="V78" s="45"/>
    </row>
    <row r="79">
      <c r="A79" s="32"/>
      <c r="B79" s="92" t="s">
        <v>18</v>
      </c>
      <c r="C79" s="93">
        <v>5222.87</v>
      </c>
      <c r="D79" s="94">
        <v>4615.79</v>
      </c>
      <c r="E79" s="94">
        <v>4922.06</v>
      </c>
      <c r="F79" s="94">
        <v>4590.75</v>
      </c>
      <c r="G79" s="94">
        <v>4626.96</v>
      </c>
      <c r="H79" s="94">
        <v>4628.31</v>
      </c>
      <c r="I79" s="94">
        <v>4519.67</v>
      </c>
      <c r="J79" s="94">
        <v>2928.55</v>
      </c>
      <c r="K79" s="94">
        <v>4610.46</v>
      </c>
      <c r="L79" s="95">
        <v>4439.07</v>
      </c>
      <c r="M79" s="96">
        <f t="shared" si="16"/>
        <v>4510.449</v>
      </c>
      <c r="N79" s="97">
        <f t="shared" si="17"/>
        <v>5222.87</v>
      </c>
      <c r="O79" s="98">
        <f t="shared" si="18"/>
        <v>4952.141</v>
      </c>
      <c r="P79" s="45"/>
      <c r="R79" s="45"/>
      <c r="T79" s="45"/>
      <c r="V79" s="45"/>
    </row>
    <row r="80">
      <c r="M80" s="99"/>
      <c r="O80" s="41"/>
      <c r="P80" s="45"/>
      <c r="R80" s="45"/>
      <c r="T80" s="45"/>
      <c r="V80" s="45"/>
    </row>
    <row r="81">
      <c r="A81" s="74"/>
      <c r="P81" s="45"/>
      <c r="R81" s="45"/>
      <c r="T81" s="45"/>
      <c r="V81" s="45"/>
    </row>
    <row r="82">
      <c r="O82" s="41"/>
      <c r="P82" s="45"/>
      <c r="R82" s="45"/>
      <c r="T82" s="45"/>
      <c r="V82" s="45"/>
    </row>
    <row r="83">
      <c r="A83" s="1" t="s">
        <v>61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5"/>
      <c r="R83" s="45"/>
      <c r="T83" s="45"/>
      <c r="V83" s="45"/>
    </row>
    <row r="84">
      <c r="A84" s="4" t="s">
        <v>1</v>
      </c>
      <c r="B84" s="4" t="s">
        <v>2</v>
      </c>
      <c r="C84" s="6" t="s">
        <v>3</v>
      </c>
      <c r="D84" s="6" t="s">
        <v>4</v>
      </c>
      <c r="E84" s="6" t="s">
        <v>5</v>
      </c>
      <c r="F84" s="6" t="s">
        <v>6</v>
      </c>
      <c r="G84" s="6" t="s">
        <v>7</v>
      </c>
      <c r="H84" s="6" t="s">
        <v>8</v>
      </c>
      <c r="I84" s="6" t="s">
        <v>9</v>
      </c>
      <c r="J84" s="6" t="s">
        <v>10</v>
      </c>
      <c r="K84" s="6" t="s">
        <v>11</v>
      </c>
      <c r="L84" s="6" t="s">
        <v>12</v>
      </c>
      <c r="M84" s="7" t="s">
        <v>13</v>
      </c>
      <c r="N84" s="7" t="s">
        <v>14</v>
      </c>
      <c r="O84" s="8" t="s">
        <v>15</v>
      </c>
      <c r="P84" s="45"/>
      <c r="R84" s="45"/>
      <c r="T84" s="45"/>
      <c r="V84" s="45"/>
    </row>
    <row r="85">
      <c r="A85" s="100" t="s">
        <v>16</v>
      </c>
      <c r="B85" s="101" t="s">
        <v>17</v>
      </c>
      <c r="C85" s="102">
        <v>300.0</v>
      </c>
      <c r="D85" s="102">
        <v>320.0</v>
      </c>
      <c r="E85" s="102">
        <v>230.0</v>
      </c>
      <c r="F85" s="102">
        <v>320.0</v>
      </c>
      <c r="G85" s="102">
        <v>270.0</v>
      </c>
      <c r="H85" s="102">
        <v>250.0</v>
      </c>
      <c r="I85" s="102">
        <v>220.0</v>
      </c>
      <c r="J85" s="102">
        <v>960.0</v>
      </c>
      <c r="K85" s="102">
        <v>330.0</v>
      </c>
      <c r="L85" s="102">
        <v>220.0</v>
      </c>
      <c r="M85" s="103">
        <f t="shared" ref="M85:M94" si="19">AVERAGE(C85:L85)</f>
        <v>342</v>
      </c>
      <c r="N85" s="104">
        <f t="shared" ref="N85:N94" si="20">MAX(C85:L85)</f>
        <v>960</v>
      </c>
      <c r="O85" s="105">
        <f t="shared" ref="O85:O94" si="21">_xlfn.PERCENTILE.INC(C85:L85, 0.9)</f>
        <v>393</v>
      </c>
      <c r="P85" s="45"/>
      <c r="R85" s="45"/>
      <c r="T85" s="45"/>
      <c r="V85" s="45"/>
    </row>
    <row r="86">
      <c r="A86" s="32"/>
      <c r="B86" s="106" t="s">
        <v>18</v>
      </c>
      <c r="C86" s="102">
        <v>302.699</v>
      </c>
      <c r="D86" s="102">
        <v>320.618</v>
      </c>
      <c r="E86" s="102">
        <v>227.766</v>
      </c>
      <c r="F86" s="102">
        <v>323.466</v>
      </c>
      <c r="G86" s="102">
        <v>272.17</v>
      </c>
      <c r="H86" s="102">
        <v>249.97</v>
      </c>
      <c r="I86" s="102">
        <v>219.369</v>
      </c>
      <c r="J86" s="102">
        <v>954.438</v>
      </c>
      <c r="K86" s="102">
        <v>335.103</v>
      </c>
      <c r="L86" s="102">
        <v>211.123</v>
      </c>
      <c r="M86" s="107">
        <f t="shared" si="19"/>
        <v>341.6722</v>
      </c>
      <c r="N86" s="108">
        <f t="shared" si="20"/>
        <v>954.438</v>
      </c>
      <c r="O86" s="109">
        <f t="shared" si="21"/>
        <v>397.0365</v>
      </c>
      <c r="P86" s="45"/>
      <c r="R86" s="45"/>
      <c r="T86" s="45"/>
      <c r="V86" s="45"/>
    </row>
    <row r="87">
      <c r="A87" s="25" t="s">
        <v>19</v>
      </c>
      <c r="B87" s="5" t="s">
        <v>17</v>
      </c>
      <c r="C87" s="27">
        <v>400.0</v>
      </c>
      <c r="D87" s="27">
        <v>520.0</v>
      </c>
      <c r="E87" s="27">
        <v>440.0</v>
      </c>
      <c r="F87" s="27">
        <v>460.0</v>
      </c>
      <c r="G87" s="27">
        <v>530.0</v>
      </c>
      <c r="H87" s="27">
        <v>520.0</v>
      </c>
      <c r="I87" s="27">
        <v>420.0</v>
      </c>
      <c r="J87" s="27">
        <v>480.0</v>
      </c>
      <c r="K87" s="27">
        <v>530.0</v>
      </c>
      <c r="L87" s="27">
        <v>390.0</v>
      </c>
      <c r="M87" s="29">
        <f t="shared" si="19"/>
        <v>469</v>
      </c>
      <c r="N87" s="30">
        <f t="shared" si="20"/>
        <v>530</v>
      </c>
      <c r="O87" s="31">
        <f t="shared" si="21"/>
        <v>530</v>
      </c>
      <c r="P87" s="45"/>
      <c r="R87" s="45"/>
      <c r="T87" s="45"/>
      <c r="V87" s="45"/>
    </row>
    <row r="88">
      <c r="A88" s="32"/>
      <c r="B88" s="62" t="s">
        <v>18</v>
      </c>
      <c r="C88" s="27">
        <v>400.801</v>
      </c>
      <c r="D88" s="27">
        <v>526.506</v>
      </c>
      <c r="E88" s="27">
        <v>432.804</v>
      </c>
      <c r="F88" s="27">
        <v>466.131</v>
      </c>
      <c r="G88" s="27">
        <v>533.215</v>
      </c>
      <c r="H88" s="27">
        <v>518.354</v>
      </c>
      <c r="I88" s="27">
        <v>425.239</v>
      </c>
      <c r="J88" s="27">
        <v>487.136</v>
      </c>
      <c r="K88" s="27">
        <v>523.244</v>
      </c>
      <c r="L88" s="27">
        <v>388.524</v>
      </c>
      <c r="M88" s="63">
        <f t="shared" si="19"/>
        <v>470.1954</v>
      </c>
      <c r="N88" s="30">
        <f t="shared" si="20"/>
        <v>533.215</v>
      </c>
      <c r="O88" s="31">
        <f t="shared" si="21"/>
        <v>527.1769</v>
      </c>
      <c r="P88" s="45"/>
      <c r="R88" s="45"/>
      <c r="T88" s="45"/>
      <c r="V88" s="45"/>
    </row>
    <row r="89">
      <c r="A89" s="100" t="s">
        <v>20</v>
      </c>
      <c r="B89" s="101" t="s">
        <v>17</v>
      </c>
      <c r="C89" s="102">
        <v>1230.0</v>
      </c>
      <c r="D89" s="102">
        <v>780.0</v>
      </c>
      <c r="E89" s="102">
        <v>880.0</v>
      </c>
      <c r="F89" s="102">
        <v>950.0</v>
      </c>
      <c r="G89" s="102">
        <v>1510.0</v>
      </c>
      <c r="H89" s="102">
        <v>750.0</v>
      </c>
      <c r="I89" s="102">
        <v>730.0</v>
      </c>
      <c r="J89" s="102">
        <v>1060.0</v>
      </c>
      <c r="K89" s="102">
        <v>800.0</v>
      </c>
      <c r="L89" s="102">
        <v>910.0</v>
      </c>
      <c r="M89" s="110">
        <f t="shared" si="19"/>
        <v>960</v>
      </c>
      <c r="N89" s="108">
        <f t="shared" si="20"/>
        <v>1510</v>
      </c>
      <c r="O89" s="109">
        <f t="shared" si="21"/>
        <v>1258</v>
      </c>
      <c r="P89" s="45"/>
      <c r="R89" s="45"/>
      <c r="T89" s="45"/>
      <c r="V89" s="45"/>
    </row>
    <row r="90">
      <c r="A90" s="32"/>
      <c r="B90" s="111" t="s">
        <v>18</v>
      </c>
      <c r="C90" s="102">
        <v>1224.14</v>
      </c>
      <c r="D90" s="102">
        <v>768.933</v>
      </c>
      <c r="E90" s="102">
        <v>878.652</v>
      </c>
      <c r="F90" s="102">
        <v>956.546</v>
      </c>
      <c r="G90" s="102">
        <v>1512.16</v>
      </c>
      <c r="H90" s="102">
        <v>753.65</v>
      </c>
      <c r="I90" s="102">
        <v>714.145</v>
      </c>
      <c r="J90" s="102">
        <v>1052.16</v>
      </c>
      <c r="K90" s="102">
        <v>797.545</v>
      </c>
      <c r="L90" s="102">
        <v>925.96</v>
      </c>
      <c r="M90" s="107">
        <f t="shared" si="19"/>
        <v>958.3891</v>
      </c>
      <c r="N90" s="108">
        <f t="shared" si="20"/>
        <v>1512.16</v>
      </c>
      <c r="O90" s="109">
        <f t="shared" si="21"/>
        <v>1252.942</v>
      </c>
      <c r="P90" s="45"/>
      <c r="R90" s="45"/>
      <c r="T90" s="45"/>
      <c r="V90" s="45"/>
    </row>
    <row r="91">
      <c r="A91" s="25" t="s">
        <v>21</v>
      </c>
      <c r="B91" s="5" t="s">
        <v>17</v>
      </c>
      <c r="C91" s="27">
        <v>2120.0</v>
      </c>
      <c r="D91" s="27">
        <v>2780.0</v>
      </c>
      <c r="E91" s="27">
        <v>2600.0</v>
      </c>
      <c r="F91" s="27">
        <v>1990.0</v>
      </c>
      <c r="G91" s="27">
        <v>1290.0</v>
      </c>
      <c r="H91" s="27">
        <v>1380.0</v>
      </c>
      <c r="I91" s="27">
        <v>2720.0</v>
      </c>
      <c r="J91" s="27">
        <v>1190.0</v>
      </c>
      <c r="K91" s="27">
        <v>1610.0</v>
      </c>
      <c r="L91" s="27">
        <v>1960.0</v>
      </c>
      <c r="M91" s="29">
        <f t="shared" si="19"/>
        <v>1964</v>
      </c>
      <c r="N91" s="30">
        <f t="shared" si="20"/>
        <v>2780</v>
      </c>
      <c r="O91" s="31">
        <f t="shared" si="21"/>
        <v>2726</v>
      </c>
      <c r="P91" s="45"/>
      <c r="R91" s="45"/>
      <c r="T91" s="45"/>
      <c r="V91" s="45"/>
    </row>
    <row r="92">
      <c r="A92" s="32"/>
      <c r="B92" s="62" t="s">
        <v>18</v>
      </c>
      <c r="C92" s="27">
        <v>2129.92</v>
      </c>
      <c r="D92" s="27">
        <v>2796.43</v>
      </c>
      <c r="E92" s="27">
        <v>2613.12</v>
      </c>
      <c r="F92" s="27">
        <v>1990.57</v>
      </c>
      <c r="G92" s="27">
        <v>1302.12</v>
      </c>
      <c r="H92" s="27">
        <v>1374.68</v>
      </c>
      <c r="I92" s="27">
        <v>2713.89</v>
      </c>
      <c r="J92" s="27">
        <v>1190.37</v>
      </c>
      <c r="K92" s="27">
        <v>1622.89</v>
      </c>
      <c r="L92" s="27">
        <v>1962.18</v>
      </c>
      <c r="M92" s="63">
        <f t="shared" si="19"/>
        <v>1969.617</v>
      </c>
      <c r="N92" s="30">
        <f t="shared" si="20"/>
        <v>2796.43</v>
      </c>
      <c r="O92" s="31">
        <f t="shared" si="21"/>
        <v>2722.144</v>
      </c>
      <c r="P92" s="45"/>
      <c r="R92" s="45"/>
      <c r="T92" s="45"/>
      <c r="V92" s="45"/>
    </row>
    <row r="93">
      <c r="A93" s="100" t="s">
        <v>22</v>
      </c>
      <c r="B93" s="101" t="s">
        <v>17</v>
      </c>
      <c r="C93" s="102">
        <v>2480.0</v>
      </c>
      <c r="D93" s="102">
        <v>3200.0</v>
      </c>
      <c r="E93" s="102">
        <v>4910.0</v>
      </c>
      <c r="F93" s="102">
        <v>3450.0</v>
      </c>
      <c r="G93" s="102">
        <v>2390.0</v>
      </c>
      <c r="H93" s="102">
        <v>3430.0</v>
      </c>
      <c r="I93" s="102">
        <v>2290.0</v>
      </c>
      <c r="J93" s="102">
        <v>2300.0</v>
      </c>
      <c r="K93" s="102">
        <v>2510.0</v>
      </c>
      <c r="L93" s="102">
        <v>3870.0</v>
      </c>
      <c r="M93" s="110">
        <f t="shared" si="19"/>
        <v>3083</v>
      </c>
      <c r="N93" s="108">
        <f t="shared" si="20"/>
        <v>4910</v>
      </c>
      <c r="O93" s="109">
        <f t="shared" si="21"/>
        <v>3974</v>
      </c>
      <c r="P93" s="45"/>
      <c r="R93" s="45"/>
      <c r="T93" s="45"/>
      <c r="V93" s="45"/>
    </row>
    <row r="94">
      <c r="A94" s="32"/>
      <c r="B94" s="112" t="s">
        <v>18</v>
      </c>
      <c r="C94" s="113">
        <v>2485.04</v>
      </c>
      <c r="D94" s="113">
        <v>3199.09</v>
      </c>
      <c r="E94" s="113">
        <v>4928.07</v>
      </c>
      <c r="F94" s="113">
        <v>3467.27</v>
      </c>
      <c r="G94" s="113">
        <v>2388.26</v>
      </c>
      <c r="H94" s="113">
        <v>3447.47</v>
      </c>
      <c r="I94" s="113">
        <v>2298.81</v>
      </c>
      <c r="J94" s="113">
        <v>2307.73</v>
      </c>
      <c r="K94" s="113">
        <v>2515.81</v>
      </c>
      <c r="L94" s="113">
        <v>3866.8</v>
      </c>
      <c r="M94" s="114">
        <f t="shared" si="19"/>
        <v>3090.435</v>
      </c>
      <c r="N94" s="115">
        <f t="shared" si="20"/>
        <v>4928.07</v>
      </c>
      <c r="O94" s="116">
        <f t="shared" si="21"/>
        <v>3972.927</v>
      </c>
      <c r="P94" s="45"/>
      <c r="R94" s="45"/>
      <c r="T94" s="45"/>
      <c r="V94" s="45"/>
    </row>
    <row r="95">
      <c r="O95" s="41"/>
      <c r="P95" s="45"/>
      <c r="R95" s="45"/>
      <c r="T95" s="45"/>
      <c r="V95" s="45"/>
    </row>
    <row r="96">
      <c r="A96" s="1" t="s">
        <v>62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5"/>
      <c r="R96" s="45"/>
      <c r="T96" s="45"/>
      <c r="V96" s="45"/>
    </row>
    <row r="97">
      <c r="A97" s="4" t="s">
        <v>1</v>
      </c>
      <c r="B97" s="4" t="s">
        <v>2</v>
      </c>
      <c r="C97" s="6" t="s">
        <v>3</v>
      </c>
      <c r="D97" s="6" t="s">
        <v>4</v>
      </c>
      <c r="E97" s="6" t="s">
        <v>5</v>
      </c>
      <c r="F97" s="6" t="s">
        <v>6</v>
      </c>
      <c r="G97" s="6" t="s">
        <v>7</v>
      </c>
      <c r="H97" s="6" t="s">
        <v>8</v>
      </c>
      <c r="I97" s="6" t="s">
        <v>9</v>
      </c>
      <c r="J97" s="6" t="s">
        <v>10</v>
      </c>
      <c r="K97" s="6" t="s">
        <v>11</v>
      </c>
      <c r="L97" s="6" t="s">
        <v>12</v>
      </c>
      <c r="M97" s="7" t="s">
        <v>13</v>
      </c>
      <c r="N97" s="7" t="s">
        <v>14</v>
      </c>
      <c r="O97" s="8" t="s">
        <v>15</v>
      </c>
      <c r="P97" s="45"/>
      <c r="R97" s="45"/>
      <c r="T97" s="45"/>
      <c r="V97" s="45"/>
    </row>
    <row r="98">
      <c r="A98" s="100" t="s">
        <v>16</v>
      </c>
      <c r="B98" s="101" t="s">
        <v>17</v>
      </c>
      <c r="C98" s="117">
        <v>150.0</v>
      </c>
      <c r="D98" s="118">
        <v>150.0</v>
      </c>
      <c r="E98" s="118">
        <v>150.0</v>
      </c>
      <c r="F98" s="118">
        <v>160.0</v>
      </c>
      <c r="G98" s="118">
        <v>150.0</v>
      </c>
      <c r="H98" s="118">
        <v>150.0</v>
      </c>
      <c r="I98" s="118">
        <v>150.0</v>
      </c>
      <c r="J98" s="118">
        <v>160.0</v>
      </c>
      <c r="K98" s="118">
        <v>150.0</v>
      </c>
      <c r="L98" s="119">
        <v>180.0</v>
      </c>
      <c r="M98" s="103">
        <f t="shared" ref="M98:M107" si="22">AVERAGE(C98:L98)</f>
        <v>155</v>
      </c>
      <c r="N98" s="104">
        <f t="shared" ref="N98:N107" si="23">MAX(C98:L98)</f>
        <v>180</v>
      </c>
      <c r="O98" s="105">
        <f t="shared" ref="O98:O107" si="24">_xlfn.PERCENTILE.INC(C98:L98, 0.9)</f>
        <v>162</v>
      </c>
      <c r="P98" s="45"/>
      <c r="R98" s="45"/>
      <c r="T98" s="45"/>
      <c r="V98" s="45"/>
    </row>
    <row r="99">
      <c r="A99" s="32"/>
      <c r="B99" s="106" t="s">
        <v>18</v>
      </c>
      <c r="C99" s="120">
        <v>153.54</v>
      </c>
      <c r="D99" s="102">
        <v>152.385</v>
      </c>
      <c r="E99" s="102">
        <v>152.788</v>
      </c>
      <c r="F99" s="102">
        <v>152.879</v>
      </c>
      <c r="G99" s="102">
        <v>152.621</v>
      </c>
      <c r="H99" s="102">
        <v>152.52</v>
      </c>
      <c r="I99" s="102">
        <v>152.251</v>
      </c>
      <c r="J99" s="102">
        <v>152.316</v>
      </c>
      <c r="K99" s="102">
        <v>152.341</v>
      </c>
      <c r="L99" s="121">
        <v>180.898</v>
      </c>
      <c r="M99" s="107">
        <f t="shared" si="22"/>
        <v>155.4539</v>
      </c>
      <c r="N99" s="108">
        <f t="shared" si="23"/>
        <v>180.898</v>
      </c>
      <c r="O99" s="109">
        <f t="shared" si="24"/>
        <v>156.2758</v>
      </c>
      <c r="P99" s="45"/>
      <c r="R99" s="45"/>
      <c r="T99" s="45"/>
      <c r="V99" s="45"/>
    </row>
    <row r="100">
      <c r="A100" s="25" t="s">
        <v>19</v>
      </c>
      <c r="B100" s="5" t="s">
        <v>17</v>
      </c>
      <c r="C100" s="26">
        <v>260.0</v>
      </c>
      <c r="D100" s="27">
        <v>260.0</v>
      </c>
      <c r="E100" s="27">
        <v>260.0</v>
      </c>
      <c r="F100" s="27">
        <v>260.0</v>
      </c>
      <c r="G100" s="27">
        <v>270.0</v>
      </c>
      <c r="H100" s="27">
        <v>250.0</v>
      </c>
      <c r="I100" s="27">
        <v>250.0</v>
      </c>
      <c r="J100" s="27">
        <v>260.0</v>
      </c>
      <c r="K100" s="27">
        <v>260.0</v>
      </c>
      <c r="L100" s="28">
        <v>250.0</v>
      </c>
      <c r="M100" s="29">
        <f t="shared" si="22"/>
        <v>258</v>
      </c>
      <c r="N100" s="30">
        <f t="shared" si="23"/>
        <v>270</v>
      </c>
      <c r="O100" s="31">
        <f t="shared" si="24"/>
        <v>261</v>
      </c>
      <c r="P100" s="45"/>
      <c r="R100" s="45"/>
      <c r="T100" s="45"/>
      <c r="V100" s="45"/>
    </row>
    <row r="101">
      <c r="A101" s="32"/>
      <c r="B101" s="62" t="s">
        <v>18</v>
      </c>
      <c r="C101" s="26">
        <v>259.277</v>
      </c>
      <c r="D101" s="27">
        <v>259.227</v>
      </c>
      <c r="E101" s="27">
        <v>259.223</v>
      </c>
      <c r="F101" s="27">
        <v>259.566</v>
      </c>
      <c r="G101" s="27">
        <v>258.698</v>
      </c>
      <c r="H101" s="27">
        <v>258.819</v>
      </c>
      <c r="I101" s="27">
        <v>258.772</v>
      </c>
      <c r="J101" s="27">
        <v>258.554</v>
      </c>
      <c r="K101" s="27">
        <v>259.152</v>
      </c>
      <c r="L101" s="28">
        <v>259.978</v>
      </c>
      <c r="M101" s="63">
        <f t="shared" si="22"/>
        <v>259.1266</v>
      </c>
      <c r="N101" s="30">
        <f t="shared" si="23"/>
        <v>259.978</v>
      </c>
      <c r="O101" s="31">
        <f t="shared" si="24"/>
        <v>259.6072</v>
      </c>
      <c r="P101" s="45"/>
      <c r="R101" s="45"/>
      <c r="T101" s="45"/>
      <c r="V101" s="45"/>
    </row>
    <row r="102">
      <c r="A102" s="100" t="s">
        <v>20</v>
      </c>
      <c r="B102" s="101" t="s">
        <v>17</v>
      </c>
      <c r="C102" s="120">
        <v>690.0</v>
      </c>
      <c r="D102" s="102">
        <v>620.0</v>
      </c>
      <c r="E102" s="102">
        <v>610.0</v>
      </c>
      <c r="F102" s="102">
        <v>620.0</v>
      </c>
      <c r="G102" s="102">
        <v>630.0</v>
      </c>
      <c r="H102" s="102">
        <v>670.0</v>
      </c>
      <c r="I102" s="102">
        <v>670.0</v>
      </c>
      <c r="J102" s="102">
        <v>630.0</v>
      </c>
      <c r="K102" s="102">
        <v>620.0</v>
      </c>
      <c r="L102" s="121">
        <v>620.0</v>
      </c>
      <c r="M102" s="110">
        <f t="shared" si="22"/>
        <v>638</v>
      </c>
      <c r="N102" s="108">
        <f t="shared" si="23"/>
        <v>690</v>
      </c>
      <c r="O102" s="109">
        <f t="shared" si="24"/>
        <v>672</v>
      </c>
      <c r="P102" s="45"/>
      <c r="R102" s="45"/>
      <c r="T102" s="45"/>
      <c r="V102" s="45"/>
    </row>
    <row r="103">
      <c r="A103" s="32"/>
      <c r="B103" s="111" t="s">
        <v>18</v>
      </c>
      <c r="C103" s="120">
        <v>681.831</v>
      </c>
      <c r="D103" s="102">
        <v>622.576</v>
      </c>
      <c r="E103" s="102">
        <v>621.088</v>
      </c>
      <c r="F103" s="102">
        <v>614.258</v>
      </c>
      <c r="G103" s="102">
        <v>625.936</v>
      </c>
      <c r="H103" s="102">
        <v>677.457</v>
      </c>
      <c r="I103" s="102">
        <v>666.325</v>
      </c>
      <c r="J103" s="102">
        <v>626.205</v>
      </c>
      <c r="K103" s="102">
        <v>624.58</v>
      </c>
      <c r="L103" s="121">
        <v>623.741</v>
      </c>
      <c r="M103" s="107">
        <f t="shared" si="22"/>
        <v>638.3997</v>
      </c>
      <c r="N103" s="108">
        <f t="shared" si="23"/>
        <v>681.831</v>
      </c>
      <c r="O103" s="109">
        <f t="shared" si="24"/>
        <v>677.8944</v>
      </c>
      <c r="P103" s="45"/>
      <c r="R103" s="45"/>
      <c r="T103" s="45"/>
      <c r="V103" s="45"/>
    </row>
    <row r="104">
      <c r="A104" s="25" t="s">
        <v>21</v>
      </c>
      <c r="B104" s="5" t="s">
        <v>17</v>
      </c>
      <c r="C104" s="26">
        <v>1070.0</v>
      </c>
      <c r="D104" s="27">
        <v>1080.0</v>
      </c>
      <c r="E104" s="27">
        <v>1070.0</v>
      </c>
      <c r="F104" s="27">
        <v>1080.0</v>
      </c>
      <c r="G104" s="27">
        <v>1070.0</v>
      </c>
      <c r="H104" s="27">
        <v>1080.0</v>
      </c>
      <c r="I104" s="27">
        <v>1080.0</v>
      </c>
      <c r="J104" s="27">
        <v>1070.0</v>
      </c>
      <c r="K104" s="27">
        <v>1070.0</v>
      </c>
      <c r="L104" s="28">
        <v>1080.0</v>
      </c>
      <c r="M104" s="29">
        <f t="shared" si="22"/>
        <v>1075</v>
      </c>
      <c r="N104" s="30">
        <f t="shared" si="23"/>
        <v>1080</v>
      </c>
      <c r="O104" s="31">
        <f t="shared" si="24"/>
        <v>1080</v>
      </c>
      <c r="P104" s="45"/>
      <c r="R104" s="45"/>
      <c r="T104" s="45"/>
      <c r="V104" s="45"/>
    </row>
    <row r="105">
      <c r="A105" s="32"/>
      <c r="B105" s="62" t="s">
        <v>18</v>
      </c>
      <c r="C105" s="26">
        <v>1075.61</v>
      </c>
      <c r="D105" s="27">
        <v>1076.44</v>
      </c>
      <c r="E105" s="27">
        <v>1078.64</v>
      </c>
      <c r="F105" s="27">
        <v>1075.67</v>
      </c>
      <c r="G105" s="27">
        <v>1075.42</v>
      </c>
      <c r="H105" s="27">
        <v>1075.11</v>
      </c>
      <c r="I105" s="27">
        <v>1077.81</v>
      </c>
      <c r="J105" s="27">
        <v>1075.65</v>
      </c>
      <c r="K105" s="27">
        <v>1068.83</v>
      </c>
      <c r="L105" s="28">
        <v>1077.61</v>
      </c>
      <c r="M105" s="63">
        <f t="shared" si="22"/>
        <v>1075.679</v>
      </c>
      <c r="N105" s="30">
        <f t="shared" si="23"/>
        <v>1078.64</v>
      </c>
      <c r="O105" s="31">
        <f t="shared" si="24"/>
        <v>1077.893</v>
      </c>
      <c r="P105" s="45"/>
      <c r="R105" s="45"/>
      <c r="T105" s="45"/>
      <c r="V105" s="45"/>
    </row>
    <row r="106">
      <c r="A106" s="100" t="s">
        <v>22</v>
      </c>
      <c r="B106" s="101" t="s">
        <v>17</v>
      </c>
      <c r="C106" s="120">
        <v>2280.0</v>
      </c>
      <c r="D106" s="102">
        <v>2210.0</v>
      </c>
      <c r="E106" s="102">
        <v>2260.0</v>
      </c>
      <c r="F106" s="102">
        <v>2220.0</v>
      </c>
      <c r="G106" s="102">
        <v>2240.0</v>
      </c>
      <c r="H106" s="102">
        <v>2190.0</v>
      </c>
      <c r="I106" s="102">
        <v>2150.0</v>
      </c>
      <c r="J106" s="102">
        <v>2280.0</v>
      </c>
      <c r="K106" s="102">
        <v>2170.0</v>
      </c>
      <c r="L106" s="121">
        <v>2270.0</v>
      </c>
      <c r="M106" s="110">
        <f t="shared" si="22"/>
        <v>2227</v>
      </c>
      <c r="N106" s="108">
        <f t="shared" si="23"/>
        <v>2280</v>
      </c>
      <c r="O106" s="109">
        <f t="shared" si="24"/>
        <v>2280</v>
      </c>
      <c r="P106" s="45"/>
      <c r="R106" s="45"/>
      <c r="T106" s="45"/>
      <c r="V106" s="45"/>
    </row>
    <row r="107">
      <c r="A107" s="32"/>
      <c r="B107" s="112" t="s">
        <v>18</v>
      </c>
      <c r="C107" s="122">
        <v>2280.19</v>
      </c>
      <c r="D107" s="113">
        <v>2219.46</v>
      </c>
      <c r="E107" s="113">
        <v>2260.76</v>
      </c>
      <c r="F107" s="113">
        <v>2231.93</v>
      </c>
      <c r="G107" s="113">
        <v>2230.06</v>
      </c>
      <c r="H107" s="113">
        <v>2183.81</v>
      </c>
      <c r="I107" s="113">
        <v>2157.23</v>
      </c>
      <c r="J107" s="113">
        <v>2280.59</v>
      </c>
      <c r="K107" s="113">
        <v>2173.57</v>
      </c>
      <c r="L107" s="123">
        <v>2275.47</v>
      </c>
      <c r="M107" s="114">
        <f t="shared" si="22"/>
        <v>2229.307</v>
      </c>
      <c r="N107" s="115">
        <f t="shared" si="23"/>
        <v>2280.59</v>
      </c>
      <c r="O107" s="116">
        <f t="shared" si="24"/>
        <v>2280.23</v>
      </c>
      <c r="P107" s="45"/>
      <c r="R107" s="45"/>
      <c r="T107" s="45"/>
      <c r="V107" s="45"/>
    </row>
    <row r="108">
      <c r="O108" s="41"/>
      <c r="P108" s="45"/>
      <c r="R108" s="45"/>
      <c r="T108" s="45"/>
      <c r="V108" s="45"/>
    </row>
    <row r="109">
      <c r="A109" s="1" t="s">
        <v>63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45"/>
      <c r="R109" s="45"/>
      <c r="T109" s="45"/>
      <c r="V109" s="45"/>
    </row>
    <row r="110">
      <c r="A110" s="4" t="s">
        <v>1</v>
      </c>
      <c r="B110" s="4" t="s">
        <v>2</v>
      </c>
      <c r="C110" s="6" t="s">
        <v>3</v>
      </c>
      <c r="D110" s="6" t="s">
        <v>4</v>
      </c>
      <c r="E110" s="6" t="s">
        <v>5</v>
      </c>
      <c r="F110" s="6" t="s">
        <v>6</v>
      </c>
      <c r="G110" s="6" t="s">
        <v>7</v>
      </c>
      <c r="H110" s="6" t="s">
        <v>8</v>
      </c>
      <c r="I110" s="6" t="s">
        <v>9</v>
      </c>
      <c r="J110" s="6" t="s">
        <v>10</v>
      </c>
      <c r="K110" s="6" t="s">
        <v>11</v>
      </c>
      <c r="L110" s="6" t="s">
        <v>12</v>
      </c>
      <c r="M110" s="7" t="s">
        <v>13</v>
      </c>
      <c r="N110" s="7" t="s">
        <v>14</v>
      </c>
      <c r="O110" s="8" t="s">
        <v>15</v>
      </c>
      <c r="P110" s="45"/>
      <c r="R110" s="45"/>
      <c r="T110" s="45"/>
      <c r="V110" s="45"/>
    </row>
    <row r="111">
      <c r="A111" s="100" t="s">
        <v>16</v>
      </c>
      <c r="B111" s="101" t="s">
        <v>17</v>
      </c>
      <c r="C111" s="102">
        <v>150.0</v>
      </c>
      <c r="D111" s="102">
        <v>150.0</v>
      </c>
      <c r="E111" s="102">
        <v>150.0</v>
      </c>
      <c r="F111" s="102">
        <v>150.0</v>
      </c>
      <c r="G111" s="102">
        <v>140.0</v>
      </c>
      <c r="H111" s="102">
        <v>130.0</v>
      </c>
      <c r="I111" s="102">
        <v>130.0</v>
      </c>
      <c r="J111" s="102">
        <v>140.0</v>
      </c>
      <c r="K111" s="102">
        <v>140.0</v>
      </c>
      <c r="L111" s="102">
        <v>160.0</v>
      </c>
      <c r="M111" s="103">
        <f t="shared" ref="M111:M120" si="25">AVERAGE(C111:L111)</f>
        <v>144</v>
      </c>
      <c r="N111" s="104">
        <f t="shared" ref="N111:N120" si="26">MAX(C111:L111)</f>
        <v>160</v>
      </c>
      <c r="O111" s="105">
        <f t="shared" ref="O111:O120" si="27">_xlfn.PERCENTILE.INC(C111:L111, 0.9)</f>
        <v>151</v>
      </c>
      <c r="P111" s="45"/>
      <c r="R111" s="45"/>
      <c r="T111" s="45"/>
      <c r="V111" s="45"/>
    </row>
    <row r="112">
      <c r="A112" s="32"/>
      <c r="B112" s="106" t="s">
        <v>18</v>
      </c>
      <c r="C112" s="102">
        <v>150.37</v>
      </c>
      <c r="D112" s="102">
        <v>142.43</v>
      </c>
      <c r="E112" s="102">
        <v>150.079</v>
      </c>
      <c r="F112" s="102">
        <v>142.934</v>
      </c>
      <c r="G112" s="102">
        <v>138.257</v>
      </c>
      <c r="H112" s="102">
        <v>136.784</v>
      </c>
      <c r="I112" s="102">
        <v>140.932</v>
      </c>
      <c r="J112" s="102">
        <v>137.871</v>
      </c>
      <c r="K112" s="102">
        <v>137.877</v>
      </c>
      <c r="L112" s="102">
        <v>152.118</v>
      </c>
      <c r="M112" s="107">
        <f t="shared" si="25"/>
        <v>142.9652</v>
      </c>
      <c r="N112" s="108">
        <f t="shared" si="26"/>
        <v>152.118</v>
      </c>
      <c r="O112" s="109">
        <f t="shared" si="27"/>
        <v>150.5448</v>
      </c>
      <c r="P112" s="45"/>
      <c r="R112" s="45"/>
      <c r="T112" s="45"/>
      <c r="V112" s="45"/>
    </row>
    <row r="113">
      <c r="A113" s="25" t="s">
        <v>19</v>
      </c>
      <c r="B113" s="5" t="s">
        <v>17</v>
      </c>
      <c r="C113" s="27">
        <v>270.0</v>
      </c>
      <c r="D113" s="27">
        <v>260.0</v>
      </c>
      <c r="E113" s="27">
        <v>280.0</v>
      </c>
      <c r="F113" s="27">
        <v>250.0</v>
      </c>
      <c r="G113" s="27">
        <v>250.0</v>
      </c>
      <c r="H113" s="27">
        <v>260.0</v>
      </c>
      <c r="I113" s="27">
        <v>260.0</v>
      </c>
      <c r="J113" s="27">
        <v>270.0</v>
      </c>
      <c r="K113" s="27">
        <v>250.0</v>
      </c>
      <c r="L113" s="27">
        <v>290.0</v>
      </c>
      <c r="M113" s="29">
        <f t="shared" si="25"/>
        <v>264</v>
      </c>
      <c r="N113" s="30">
        <f t="shared" si="26"/>
        <v>290</v>
      </c>
      <c r="O113" s="31">
        <f t="shared" si="27"/>
        <v>281</v>
      </c>
      <c r="P113" s="45"/>
      <c r="R113" s="45"/>
      <c r="T113" s="45"/>
      <c r="V113" s="45"/>
    </row>
    <row r="114">
      <c r="A114" s="32"/>
      <c r="B114" s="62" t="s">
        <v>18</v>
      </c>
      <c r="C114" s="27">
        <v>258.612</v>
      </c>
      <c r="D114" s="27">
        <v>269.992</v>
      </c>
      <c r="E114" s="27">
        <v>277.55</v>
      </c>
      <c r="F114" s="27">
        <v>259.07</v>
      </c>
      <c r="G114" s="27">
        <v>259.583</v>
      </c>
      <c r="H114" s="27">
        <v>260.396</v>
      </c>
      <c r="I114" s="27">
        <v>264.063</v>
      </c>
      <c r="J114" s="27">
        <v>260.688</v>
      </c>
      <c r="K114" s="27">
        <v>256.493</v>
      </c>
      <c r="L114" s="27">
        <v>290.251</v>
      </c>
      <c r="M114" s="63">
        <f t="shared" si="25"/>
        <v>265.6698</v>
      </c>
      <c r="N114" s="30">
        <f t="shared" si="26"/>
        <v>290.251</v>
      </c>
      <c r="O114" s="31">
        <f t="shared" si="27"/>
        <v>278.8201</v>
      </c>
      <c r="P114" s="45"/>
      <c r="R114" s="45"/>
      <c r="T114" s="45"/>
      <c r="V114" s="45"/>
    </row>
    <row r="115">
      <c r="A115" s="100" t="s">
        <v>20</v>
      </c>
      <c r="B115" s="101" t="s">
        <v>17</v>
      </c>
      <c r="C115" s="102">
        <v>500.0</v>
      </c>
      <c r="D115" s="102">
        <v>500.0</v>
      </c>
      <c r="E115" s="102">
        <v>510.0</v>
      </c>
      <c r="F115" s="102">
        <v>500.0</v>
      </c>
      <c r="G115" s="102">
        <v>500.0</v>
      </c>
      <c r="H115" s="102">
        <v>510.0</v>
      </c>
      <c r="I115" s="102">
        <v>510.0</v>
      </c>
      <c r="J115" s="102">
        <v>540.0</v>
      </c>
      <c r="K115" s="102">
        <v>1200.0</v>
      </c>
      <c r="L115" s="102">
        <v>510.0</v>
      </c>
      <c r="M115" s="110">
        <f t="shared" si="25"/>
        <v>578</v>
      </c>
      <c r="N115" s="108">
        <f t="shared" si="26"/>
        <v>1200</v>
      </c>
      <c r="O115" s="109">
        <f t="shared" si="27"/>
        <v>606</v>
      </c>
      <c r="P115" s="45"/>
      <c r="R115" s="45"/>
      <c r="T115" s="45"/>
      <c r="V115" s="45"/>
    </row>
    <row r="116">
      <c r="A116" s="32"/>
      <c r="B116" s="111" t="s">
        <v>18</v>
      </c>
      <c r="C116" s="102">
        <v>491.12</v>
      </c>
      <c r="D116" s="102">
        <v>499.243</v>
      </c>
      <c r="E116" s="102">
        <v>505.872</v>
      </c>
      <c r="F116" s="102">
        <v>496.743</v>
      </c>
      <c r="G116" s="102">
        <v>505.448</v>
      </c>
      <c r="H116" s="102">
        <v>504.844</v>
      </c>
      <c r="I116" s="102">
        <v>507.096</v>
      </c>
      <c r="J116" s="102">
        <v>546.342</v>
      </c>
      <c r="K116" s="102">
        <v>1204.14</v>
      </c>
      <c r="L116" s="102">
        <v>506.1</v>
      </c>
      <c r="M116" s="107">
        <f t="shared" si="25"/>
        <v>576.6948</v>
      </c>
      <c r="N116" s="108">
        <f t="shared" si="26"/>
        <v>1204.14</v>
      </c>
      <c r="O116" s="109">
        <f t="shared" si="27"/>
        <v>612.1218</v>
      </c>
      <c r="P116" s="45"/>
      <c r="R116" s="45"/>
      <c r="T116" s="45"/>
      <c r="V116" s="45"/>
    </row>
    <row r="117">
      <c r="A117" s="25" t="s">
        <v>21</v>
      </c>
      <c r="B117" s="5" t="s">
        <v>17</v>
      </c>
      <c r="C117" s="27">
        <v>900.0</v>
      </c>
      <c r="D117" s="27">
        <v>900.0</v>
      </c>
      <c r="E117" s="27">
        <v>1370.0</v>
      </c>
      <c r="F117" s="27">
        <v>910.0</v>
      </c>
      <c r="G117" s="27">
        <v>900.0</v>
      </c>
      <c r="H117" s="27">
        <v>910.0</v>
      </c>
      <c r="I117" s="27">
        <v>910.0</v>
      </c>
      <c r="J117" s="27">
        <v>920.0</v>
      </c>
      <c r="K117" s="27">
        <v>930.0</v>
      </c>
      <c r="L117" s="27">
        <v>910.0</v>
      </c>
      <c r="M117" s="29">
        <f t="shared" si="25"/>
        <v>956</v>
      </c>
      <c r="N117" s="30">
        <f t="shared" si="26"/>
        <v>1370</v>
      </c>
      <c r="O117" s="31">
        <f t="shared" si="27"/>
        <v>974</v>
      </c>
      <c r="P117" s="45"/>
      <c r="R117" s="45"/>
      <c r="T117" s="45"/>
      <c r="V117" s="45"/>
    </row>
    <row r="118">
      <c r="A118" s="32"/>
      <c r="B118" s="62" t="s">
        <v>18</v>
      </c>
      <c r="C118" s="27">
        <v>904.608</v>
      </c>
      <c r="D118" s="27">
        <v>904.584</v>
      </c>
      <c r="E118" s="27">
        <v>1369.09</v>
      </c>
      <c r="F118" s="27">
        <v>914.487</v>
      </c>
      <c r="G118" s="27">
        <v>908.564</v>
      </c>
      <c r="H118" s="27">
        <v>913.174</v>
      </c>
      <c r="I118" s="27">
        <v>909.658</v>
      </c>
      <c r="J118" s="27">
        <v>918.879</v>
      </c>
      <c r="K118" s="27">
        <v>928.184</v>
      </c>
      <c r="L118" s="27">
        <v>910.749</v>
      </c>
      <c r="M118" s="63">
        <f t="shared" si="25"/>
        <v>958.1977</v>
      </c>
      <c r="N118" s="30">
        <f t="shared" si="26"/>
        <v>1369.09</v>
      </c>
      <c r="O118" s="31">
        <f t="shared" si="27"/>
        <v>972.2746</v>
      </c>
      <c r="P118" s="45"/>
      <c r="R118" s="45"/>
      <c r="T118" s="45"/>
      <c r="V118" s="45"/>
    </row>
    <row r="119">
      <c r="A119" s="100" t="s">
        <v>22</v>
      </c>
      <c r="B119" s="101" t="s">
        <v>17</v>
      </c>
      <c r="C119" s="102">
        <v>1610.0</v>
      </c>
      <c r="D119" s="102">
        <v>1660.0</v>
      </c>
      <c r="E119" s="102">
        <v>1660.0</v>
      </c>
      <c r="F119" s="102">
        <v>1600.0</v>
      </c>
      <c r="G119" s="102">
        <v>1740.0</v>
      </c>
      <c r="H119" s="102">
        <v>1650.0</v>
      </c>
      <c r="I119" s="102">
        <v>1630.0</v>
      </c>
      <c r="J119" s="102">
        <v>1610.0</v>
      </c>
      <c r="K119" s="102">
        <v>1760.0</v>
      </c>
      <c r="L119" s="102">
        <v>1640.0</v>
      </c>
      <c r="M119" s="110">
        <f t="shared" si="25"/>
        <v>1656</v>
      </c>
      <c r="N119" s="108">
        <f t="shared" si="26"/>
        <v>1760</v>
      </c>
      <c r="O119" s="109">
        <f t="shared" si="27"/>
        <v>1742</v>
      </c>
      <c r="P119" s="45"/>
      <c r="R119" s="45"/>
      <c r="T119" s="45"/>
      <c r="V119" s="45"/>
    </row>
    <row r="120">
      <c r="A120" s="32"/>
      <c r="B120" s="112" t="s">
        <v>18</v>
      </c>
      <c r="C120" s="113">
        <v>1619.09</v>
      </c>
      <c r="D120" s="113">
        <v>1658.52</v>
      </c>
      <c r="E120" s="113">
        <v>1664.93</v>
      </c>
      <c r="F120" s="113">
        <v>1606.59</v>
      </c>
      <c r="G120" s="113">
        <v>1744.43</v>
      </c>
      <c r="H120" s="113">
        <v>1648.04</v>
      </c>
      <c r="I120" s="113">
        <v>1632.64</v>
      </c>
      <c r="J120" s="113">
        <v>1606.12</v>
      </c>
      <c r="K120" s="113">
        <v>1769.46</v>
      </c>
      <c r="L120" s="113">
        <v>1648.67</v>
      </c>
      <c r="M120" s="114">
        <f t="shared" si="25"/>
        <v>1659.849</v>
      </c>
      <c r="N120" s="115">
        <f t="shared" si="26"/>
        <v>1769.46</v>
      </c>
      <c r="O120" s="116">
        <f t="shared" si="27"/>
        <v>1746.933</v>
      </c>
      <c r="P120" s="45"/>
      <c r="R120" s="45"/>
      <c r="T120" s="45"/>
      <c r="V120" s="45"/>
    </row>
    <row r="121">
      <c r="O121" s="41"/>
      <c r="P121" s="45"/>
      <c r="R121" s="45"/>
      <c r="T121" s="45"/>
      <c r="V121" s="45"/>
    </row>
    <row r="122">
      <c r="A122" s="74"/>
      <c r="P122" s="45"/>
      <c r="R122" s="45"/>
      <c r="T122" s="45"/>
      <c r="V122" s="45"/>
    </row>
    <row r="123">
      <c r="O123" s="41"/>
      <c r="P123" s="45"/>
      <c r="R123" s="45"/>
      <c r="T123" s="45"/>
      <c r="V123" s="45"/>
    </row>
    <row r="124">
      <c r="A124" s="1" t="s">
        <v>64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45"/>
      <c r="R124" s="45"/>
      <c r="T124" s="45"/>
      <c r="V124" s="45"/>
    </row>
    <row r="125">
      <c r="A125" s="4" t="s">
        <v>1</v>
      </c>
      <c r="B125" s="4" t="s">
        <v>2</v>
      </c>
      <c r="C125" s="6" t="s">
        <v>3</v>
      </c>
      <c r="D125" s="6" t="s">
        <v>4</v>
      </c>
      <c r="E125" s="6" t="s">
        <v>5</v>
      </c>
      <c r="F125" s="6" t="s">
        <v>6</v>
      </c>
      <c r="G125" s="6" t="s">
        <v>7</v>
      </c>
      <c r="H125" s="6" t="s">
        <v>8</v>
      </c>
      <c r="I125" s="6" t="s">
        <v>9</v>
      </c>
      <c r="J125" s="6" t="s">
        <v>10</v>
      </c>
      <c r="K125" s="6" t="s">
        <v>11</v>
      </c>
      <c r="L125" s="6" t="s">
        <v>12</v>
      </c>
      <c r="M125" s="7" t="s">
        <v>13</v>
      </c>
      <c r="N125" s="7" t="s">
        <v>14</v>
      </c>
      <c r="O125" s="8" t="s">
        <v>15</v>
      </c>
      <c r="P125" s="45"/>
      <c r="R125" s="45"/>
      <c r="T125" s="45"/>
      <c r="V125" s="45"/>
    </row>
    <row r="126">
      <c r="A126" s="124" t="s">
        <v>16</v>
      </c>
      <c r="B126" s="125" t="s">
        <v>17</v>
      </c>
      <c r="C126" s="126">
        <v>220.0</v>
      </c>
      <c r="D126" s="126">
        <v>530.0</v>
      </c>
      <c r="E126" s="126">
        <v>200.0</v>
      </c>
      <c r="F126" s="126">
        <v>200.0</v>
      </c>
      <c r="G126" s="126">
        <v>220.0</v>
      </c>
      <c r="H126" s="126">
        <v>200.0</v>
      </c>
      <c r="I126" s="126">
        <v>200.0</v>
      </c>
      <c r="J126" s="126">
        <v>290.0</v>
      </c>
      <c r="K126" s="126">
        <v>210.0</v>
      </c>
      <c r="L126" s="126">
        <v>210.0</v>
      </c>
      <c r="M126" s="127">
        <f t="shared" ref="M126:M135" si="28">AVERAGE(C126:L126)</f>
        <v>248</v>
      </c>
      <c r="N126" s="128">
        <f t="shared" ref="N126:N135" si="29">MAX(C126:L126)</f>
        <v>530</v>
      </c>
      <c r="O126" s="129">
        <f t="shared" ref="O126:O135" si="30">_xlfn.PERCENTILE.INC(C126:L126, 0.9)</f>
        <v>314</v>
      </c>
      <c r="P126" s="45"/>
      <c r="R126" s="45"/>
      <c r="T126" s="45"/>
      <c r="V126" s="45"/>
    </row>
    <row r="127">
      <c r="A127" s="32"/>
      <c r="B127" s="130" t="s">
        <v>18</v>
      </c>
      <c r="C127" s="126">
        <v>223.36</v>
      </c>
      <c r="D127" s="126">
        <v>525.248</v>
      </c>
      <c r="E127" s="126">
        <v>198.975</v>
      </c>
      <c r="F127" s="126">
        <v>196.891</v>
      </c>
      <c r="G127" s="126">
        <v>227.917</v>
      </c>
      <c r="H127" s="126">
        <v>196.177</v>
      </c>
      <c r="I127" s="126">
        <v>197.155</v>
      </c>
      <c r="J127" s="126">
        <v>291.735</v>
      </c>
      <c r="K127" s="126">
        <v>209.378</v>
      </c>
      <c r="L127" s="126">
        <v>195.738</v>
      </c>
      <c r="M127" s="131">
        <f t="shared" si="28"/>
        <v>246.2574</v>
      </c>
      <c r="N127" s="132">
        <f t="shared" si="29"/>
        <v>525.248</v>
      </c>
      <c r="O127" s="133">
        <f t="shared" si="30"/>
        <v>315.0863</v>
      </c>
      <c r="P127" s="45"/>
      <c r="R127" s="45"/>
      <c r="T127" s="45"/>
      <c r="V127" s="45"/>
    </row>
    <row r="128">
      <c r="A128" s="25" t="s">
        <v>19</v>
      </c>
      <c r="B128" s="5" t="s">
        <v>17</v>
      </c>
      <c r="C128" s="27">
        <v>370.0</v>
      </c>
      <c r="D128" s="27">
        <v>650.0</v>
      </c>
      <c r="E128" s="27">
        <v>400.0</v>
      </c>
      <c r="F128" s="27">
        <v>390.0</v>
      </c>
      <c r="G128" s="27">
        <v>380.0</v>
      </c>
      <c r="H128" s="27">
        <v>380.0</v>
      </c>
      <c r="I128" s="27">
        <v>370.0</v>
      </c>
      <c r="J128" s="27">
        <v>330.0</v>
      </c>
      <c r="K128" s="27">
        <v>360.0</v>
      </c>
      <c r="L128" s="27">
        <v>440.0</v>
      </c>
      <c r="M128" s="29">
        <f t="shared" si="28"/>
        <v>407</v>
      </c>
      <c r="N128" s="30">
        <f t="shared" si="29"/>
        <v>650</v>
      </c>
      <c r="O128" s="31">
        <f t="shared" si="30"/>
        <v>461</v>
      </c>
      <c r="P128" s="45"/>
      <c r="R128" s="45"/>
      <c r="T128" s="45"/>
      <c r="V128" s="45"/>
    </row>
    <row r="129">
      <c r="A129" s="32"/>
      <c r="B129" s="62" t="s">
        <v>18</v>
      </c>
      <c r="C129" s="27">
        <v>369.871</v>
      </c>
      <c r="D129" s="27">
        <v>644.331</v>
      </c>
      <c r="E129" s="27">
        <v>403.739</v>
      </c>
      <c r="F129" s="27">
        <v>383.476</v>
      </c>
      <c r="G129" s="27">
        <v>380.325</v>
      </c>
      <c r="H129" s="27">
        <v>380.924</v>
      </c>
      <c r="I129" s="27">
        <v>375.197</v>
      </c>
      <c r="J129" s="27">
        <v>335.901</v>
      </c>
      <c r="K129" s="27">
        <v>368.818</v>
      </c>
      <c r="L129" s="27">
        <v>436.723</v>
      </c>
      <c r="M129" s="63">
        <f t="shared" si="28"/>
        <v>407.9305</v>
      </c>
      <c r="N129" s="30">
        <f t="shared" si="29"/>
        <v>644.331</v>
      </c>
      <c r="O129" s="31">
        <f t="shared" si="30"/>
        <v>457.4838</v>
      </c>
      <c r="P129" s="45"/>
      <c r="R129" s="45"/>
      <c r="T129" s="45"/>
      <c r="V129" s="45"/>
    </row>
    <row r="130">
      <c r="A130" s="124" t="s">
        <v>20</v>
      </c>
      <c r="B130" s="125" t="s">
        <v>17</v>
      </c>
      <c r="C130" s="126">
        <v>960.0</v>
      </c>
      <c r="D130" s="126">
        <v>2370.0</v>
      </c>
      <c r="E130" s="126">
        <v>1180.0</v>
      </c>
      <c r="F130" s="126">
        <v>1310.0</v>
      </c>
      <c r="G130" s="126">
        <v>680.0</v>
      </c>
      <c r="H130" s="126">
        <v>660.0</v>
      </c>
      <c r="I130" s="126">
        <v>680.0</v>
      </c>
      <c r="J130" s="126">
        <v>670.0</v>
      </c>
      <c r="K130" s="126">
        <v>720.0</v>
      </c>
      <c r="L130" s="126">
        <v>670.0</v>
      </c>
      <c r="M130" s="134">
        <f t="shared" si="28"/>
        <v>990</v>
      </c>
      <c r="N130" s="132">
        <f t="shared" si="29"/>
        <v>2370</v>
      </c>
      <c r="O130" s="133">
        <f t="shared" si="30"/>
        <v>1416</v>
      </c>
      <c r="P130" s="45"/>
      <c r="R130" s="45"/>
      <c r="T130" s="45"/>
      <c r="V130" s="45"/>
    </row>
    <row r="131">
      <c r="A131" s="32"/>
      <c r="B131" s="135" t="s">
        <v>18</v>
      </c>
      <c r="C131" s="126">
        <v>962.836</v>
      </c>
      <c r="D131" s="126">
        <v>2376.14</v>
      </c>
      <c r="E131" s="126">
        <v>1178.97</v>
      </c>
      <c r="F131" s="126">
        <v>1300.15</v>
      </c>
      <c r="G131" s="126">
        <v>678.519</v>
      </c>
      <c r="H131" s="126">
        <v>675.658</v>
      </c>
      <c r="I131" s="126">
        <v>680.691</v>
      </c>
      <c r="J131" s="126">
        <v>678.843</v>
      </c>
      <c r="K131" s="126">
        <v>722.08</v>
      </c>
      <c r="L131" s="126">
        <v>674.294</v>
      </c>
      <c r="M131" s="131">
        <f t="shared" si="28"/>
        <v>992.8181</v>
      </c>
      <c r="N131" s="132">
        <f t="shared" si="29"/>
        <v>2376.14</v>
      </c>
      <c r="O131" s="133">
        <f t="shared" si="30"/>
        <v>1407.749</v>
      </c>
      <c r="P131" s="45"/>
      <c r="R131" s="45"/>
      <c r="T131" s="45"/>
      <c r="V131" s="45"/>
    </row>
    <row r="132">
      <c r="A132" s="25" t="s">
        <v>21</v>
      </c>
      <c r="B132" s="5" t="s">
        <v>17</v>
      </c>
      <c r="C132" s="27">
        <v>1820.0</v>
      </c>
      <c r="D132" s="27">
        <v>1330.0</v>
      </c>
      <c r="E132" s="27">
        <v>2790.0</v>
      </c>
      <c r="F132" s="27">
        <v>2850.0</v>
      </c>
      <c r="G132" s="27">
        <v>1520.0</v>
      </c>
      <c r="H132" s="27">
        <v>3180.0</v>
      </c>
      <c r="I132" s="27">
        <v>1430.0</v>
      </c>
      <c r="J132" s="27">
        <v>2410.0</v>
      </c>
      <c r="K132" s="27">
        <v>1560.0</v>
      </c>
      <c r="L132" s="27">
        <v>1540.0</v>
      </c>
      <c r="M132" s="29">
        <f t="shared" si="28"/>
        <v>2043</v>
      </c>
      <c r="N132" s="30">
        <f t="shared" si="29"/>
        <v>3180</v>
      </c>
      <c r="O132" s="31">
        <f t="shared" si="30"/>
        <v>2883</v>
      </c>
      <c r="P132" s="45"/>
      <c r="R132" s="45"/>
      <c r="T132" s="45"/>
      <c r="V132" s="45"/>
    </row>
    <row r="133">
      <c r="A133" s="32"/>
      <c r="B133" s="62" t="s">
        <v>18</v>
      </c>
      <c r="C133" s="27">
        <v>1814.55</v>
      </c>
      <c r="D133" s="27">
        <v>1342.25</v>
      </c>
      <c r="E133" s="27">
        <v>2799.58</v>
      </c>
      <c r="F133" s="27">
        <v>2862.12</v>
      </c>
      <c r="G133" s="27">
        <v>1529.5</v>
      </c>
      <c r="H133" s="27">
        <v>3175.23</v>
      </c>
      <c r="I133" s="27">
        <v>1434.03</v>
      </c>
      <c r="J133" s="27">
        <v>2423.61</v>
      </c>
      <c r="K133" s="27">
        <v>1558.62</v>
      </c>
      <c r="L133" s="27">
        <v>1548.56</v>
      </c>
      <c r="M133" s="63">
        <f t="shared" si="28"/>
        <v>2048.805</v>
      </c>
      <c r="N133" s="30">
        <f t="shared" si="29"/>
        <v>3175.23</v>
      </c>
      <c r="O133" s="31">
        <f t="shared" si="30"/>
        <v>2893.431</v>
      </c>
      <c r="P133" s="45"/>
      <c r="R133" s="45"/>
      <c r="T133" s="45"/>
      <c r="V133" s="45"/>
    </row>
    <row r="134">
      <c r="A134" s="124" t="s">
        <v>22</v>
      </c>
      <c r="B134" s="125" t="s">
        <v>17</v>
      </c>
      <c r="C134" s="126">
        <v>3650.0</v>
      </c>
      <c r="D134" s="126">
        <v>7200.0</v>
      </c>
      <c r="E134" s="126">
        <v>4520.0</v>
      </c>
      <c r="F134" s="126">
        <v>4320.0</v>
      </c>
      <c r="G134" s="126">
        <v>3250.0</v>
      </c>
      <c r="H134" s="126">
        <v>3520.0</v>
      </c>
      <c r="I134" s="126">
        <v>5380.0</v>
      </c>
      <c r="J134" s="126">
        <v>7610.0</v>
      </c>
      <c r="K134" s="126">
        <v>2790.0</v>
      </c>
      <c r="L134" s="126">
        <v>2190.0</v>
      </c>
      <c r="M134" s="134">
        <f t="shared" si="28"/>
        <v>4443</v>
      </c>
      <c r="N134" s="132">
        <f t="shared" si="29"/>
        <v>7610</v>
      </c>
      <c r="O134" s="133">
        <f t="shared" si="30"/>
        <v>7241</v>
      </c>
      <c r="P134" s="45"/>
      <c r="R134" s="45"/>
      <c r="T134" s="45"/>
      <c r="V134" s="45"/>
    </row>
    <row r="135">
      <c r="A135" s="32"/>
      <c r="B135" s="136" t="s">
        <v>18</v>
      </c>
      <c r="C135" s="137">
        <v>3659.3</v>
      </c>
      <c r="D135" s="137">
        <v>7218.57</v>
      </c>
      <c r="E135" s="137">
        <v>4529.7</v>
      </c>
      <c r="F135" s="137">
        <v>4336.38</v>
      </c>
      <c r="G135" s="137">
        <v>3254.53</v>
      </c>
      <c r="H135" s="137">
        <v>3531.29</v>
      </c>
      <c r="I135" s="137">
        <v>5394.17</v>
      </c>
      <c r="J135" s="137">
        <v>7625.37</v>
      </c>
      <c r="K135" s="137">
        <v>2794.91</v>
      </c>
      <c r="L135" s="137">
        <v>2201.36</v>
      </c>
      <c r="M135" s="138">
        <f t="shared" si="28"/>
        <v>4454.558</v>
      </c>
      <c r="N135" s="139">
        <f t="shared" si="29"/>
        <v>7625.37</v>
      </c>
      <c r="O135" s="140">
        <f t="shared" si="30"/>
        <v>7259.25</v>
      </c>
      <c r="P135" s="45"/>
      <c r="R135" s="45"/>
      <c r="T135" s="45"/>
      <c r="V135" s="45"/>
    </row>
    <row r="136">
      <c r="O136" s="41"/>
      <c r="P136" s="45"/>
      <c r="R136" s="45"/>
      <c r="T136" s="45"/>
      <c r="V136" s="45"/>
    </row>
    <row r="137">
      <c r="A137" s="1" t="s">
        <v>65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45"/>
      <c r="R137" s="45"/>
      <c r="T137" s="45"/>
      <c r="V137" s="45"/>
    </row>
    <row r="138">
      <c r="A138" s="4" t="s">
        <v>1</v>
      </c>
      <c r="B138" s="4" t="s">
        <v>2</v>
      </c>
      <c r="C138" s="6" t="s">
        <v>3</v>
      </c>
      <c r="D138" s="6" t="s">
        <v>4</v>
      </c>
      <c r="E138" s="6" t="s">
        <v>5</v>
      </c>
      <c r="F138" s="6" t="s">
        <v>6</v>
      </c>
      <c r="G138" s="6" t="s">
        <v>7</v>
      </c>
      <c r="H138" s="6" t="s">
        <v>8</v>
      </c>
      <c r="I138" s="6" t="s">
        <v>9</v>
      </c>
      <c r="J138" s="6" t="s">
        <v>10</v>
      </c>
      <c r="K138" s="6" t="s">
        <v>11</v>
      </c>
      <c r="L138" s="6" t="s">
        <v>12</v>
      </c>
      <c r="M138" s="7" t="s">
        <v>13</v>
      </c>
      <c r="N138" s="7" t="s">
        <v>14</v>
      </c>
      <c r="O138" s="8" t="s">
        <v>15</v>
      </c>
      <c r="P138" s="45"/>
      <c r="R138" s="45"/>
      <c r="T138" s="45"/>
      <c r="V138" s="45"/>
    </row>
    <row r="139">
      <c r="A139" s="124" t="s">
        <v>16</v>
      </c>
      <c r="B139" s="125" t="s">
        <v>17</v>
      </c>
      <c r="C139" s="126">
        <v>370.0</v>
      </c>
      <c r="D139" s="126">
        <v>310.0</v>
      </c>
      <c r="E139" s="126">
        <v>340.0</v>
      </c>
      <c r="F139" s="126">
        <v>440.0</v>
      </c>
      <c r="G139" s="126">
        <v>680.0</v>
      </c>
      <c r="H139" s="126">
        <v>280.0</v>
      </c>
      <c r="I139" s="126">
        <v>230.0</v>
      </c>
      <c r="J139" s="126">
        <v>230.0</v>
      </c>
      <c r="K139" s="126">
        <v>270.0</v>
      </c>
      <c r="L139" s="126">
        <v>200.0</v>
      </c>
      <c r="M139" s="127">
        <f t="shared" ref="M139:M148" si="31">AVERAGE(C139:L139)</f>
        <v>335</v>
      </c>
      <c r="N139" s="128">
        <f t="shared" ref="N139:N148" si="32">MAX(C139:L139)</f>
        <v>680</v>
      </c>
      <c r="O139" s="129">
        <f t="shared" ref="O139:O148" si="33">_xlfn.PERCENTILE.INC(C139:L139, 0.9)</f>
        <v>464</v>
      </c>
      <c r="P139" s="45"/>
      <c r="R139" s="45"/>
      <c r="T139" s="45"/>
      <c r="V139" s="45"/>
    </row>
    <row r="140">
      <c r="A140" s="32"/>
      <c r="B140" s="130" t="s">
        <v>18</v>
      </c>
      <c r="C140" s="126">
        <v>361.498</v>
      </c>
      <c r="D140" s="126">
        <v>314.5</v>
      </c>
      <c r="E140" s="126">
        <v>333.988</v>
      </c>
      <c r="F140" s="126">
        <v>450.334</v>
      </c>
      <c r="G140" s="126">
        <v>693.189</v>
      </c>
      <c r="H140" s="126">
        <v>270.683</v>
      </c>
      <c r="I140" s="126">
        <v>232.415</v>
      </c>
      <c r="J140" s="126">
        <v>230.686</v>
      </c>
      <c r="K140" s="126">
        <v>263.774</v>
      </c>
      <c r="L140" s="126">
        <v>189.353</v>
      </c>
      <c r="M140" s="131">
        <f t="shared" si="31"/>
        <v>334.042</v>
      </c>
      <c r="N140" s="132">
        <f t="shared" si="32"/>
        <v>693.189</v>
      </c>
      <c r="O140" s="133">
        <f t="shared" si="33"/>
        <v>474.6195</v>
      </c>
      <c r="P140" s="45"/>
      <c r="R140" s="45"/>
      <c r="T140" s="45"/>
      <c r="V140" s="45"/>
    </row>
    <row r="141">
      <c r="A141" s="25" t="s">
        <v>19</v>
      </c>
      <c r="B141" s="5" t="s">
        <v>17</v>
      </c>
      <c r="C141" s="27">
        <v>710.0</v>
      </c>
      <c r="D141" s="27">
        <v>570.0</v>
      </c>
      <c r="E141" s="27">
        <v>540.0</v>
      </c>
      <c r="F141" s="27">
        <v>660.0</v>
      </c>
      <c r="G141" s="27">
        <v>1010.0</v>
      </c>
      <c r="H141" s="27">
        <v>400.0</v>
      </c>
      <c r="I141" s="27">
        <v>420.0</v>
      </c>
      <c r="J141" s="27">
        <v>430.0</v>
      </c>
      <c r="K141" s="27">
        <v>600.0</v>
      </c>
      <c r="L141" s="27">
        <v>1080.0</v>
      </c>
      <c r="M141" s="29">
        <f t="shared" si="31"/>
        <v>642</v>
      </c>
      <c r="N141" s="30">
        <f t="shared" si="32"/>
        <v>1080</v>
      </c>
      <c r="O141" s="31">
        <f t="shared" si="33"/>
        <v>1017</v>
      </c>
      <c r="P141" s="45"/>
      <c r="R141" s="45"/>
      <c r="T141" s="45"/>
      <c r="V141" s="45"/>
    </row>
    <row r="142">
      <c r="A142" s="32"/>
      <c r="B142" s="62" t="s">
        <v>18</v>
      </c>
      <c r="C142" s="27">
        <v>716.591</v>
      </c>
      <c r="D142" s="27">
        <v>563.263</v>
      </c>
      <c r="E142" s="27">
        <v>549.959</v>
      </c>
      <c r="F142" s="27">
        <v>657.821</v>
      </c>
      <c r="G142" s="27">
        <v>1009.78</v>
      </c>
      <c r="H142" s="27">
        <v>394.769</v>
      </c>
      <c r="I142" s="27">
        <v>423.378</v>
      </c>
      <c r="J142" s="27">
        <v>426.913</v>
      </c>
      <c r="K142" s="27">
        <v>601.358</v>
      </c>
      <c r="L142" s="27">
        <v>1090.36</v>
      </c>
      <c r="M142" s="63">
        <f t="shared" si="31"/>
        <v>643.4192</v>
      </c>
      <c r="N142" s="30">
        <f t="shared" si="32"/>
        <v>1090.36</v>
      </c>
      <c r="O142" s="31">
        <f t="shared" si="33"/>
        <v>1017.838</v>
      </c>
      <c r="P142" s="45"/>
      <c r="R142" s="45"/>
      <c r="T142" s="45"/>
      <c r="V142" s="45"/>
    </row>
    <row r="143">
      <c r="A143" s="124" t="s">
        <v>20</v>
      </c>
      <c r="B143" s="125" t="s">
        <v>17</v>
      </c>
      <c r="C143" s="126">
        <v>1230.0</v>
      </c>
      <c r="D143" s="126">
        <v>970.0</v>
      </c>
      <c r="E143" s="126">
        <v>1050.0</v>
      </c>
      <c r="F143" s="126">
        <v>1480.0</v>
      </c>
      <c r="G143" s="126">
        <v>1650.0</v>
      </c>
      <c r="H143" s="126">
        <v>720.0</v>
      </c>
      <c r="I143" s="126">
        <v>730.0</v>
      </c>
      <c r="J143" s="126">
        <v>1070.0</v>
      </c>
      <c r="K143" s="126">
        <v>1650.0</v>
      </c>
      <c r="L143" s="126">
        <v>1160.0</v>
      </c>
      <c r="M143" s="134">
        <f t="shared" si="31"/>
        <v>1171</v>
      </c>
      <c r="N143" s="132">
        <f t="shared" si="32"/>
        <v>1650</v>
      </c>
      <c r="O143" s="133">
        <f t="shared" si="33"/>
        <v>1650</v>
      </c>
      <c r="P143" s="45"/>
      <c r="R143" s="45"/>
      <c r="T143" s="45"/>
      <c r="V143" s="45"/>
    </row>
    <row r="144">
      <c r="A144" s="32"/>
      <c r="B144" s="135" t="s">
        <v>18</v>
      </c>
      <c r="C144" s="126">
        <v>1228.78</v>
      </c>
      <c r="D144" s="126">
        <v>980.358</v>
      </c>
      <c r="E144" s="126">
        <v>1044.7</v>
      </c>
      <c r="F144" s="126">
        <v>1478.68</v>
      </c>
      <c r="G144" s="126">
        <v>1646.04</v>
      </c>
      <c r="H144" s="126">
        <v>725.621</v>
      </c>
      <c r="I144" s="126">
        <v>727.128</v>
      </c>
      <c r="J144" s="126">
        <v>1062.34</v>
      </c>
      <c r="K144" s="126">
        <v>1649.06</v>
      </c>
      <c r="L144" s="126">
        <v>1164.89</v>
      </c>
      <c r="M144" s="131">
        <f t="shared" si="31"/>
        <v>1170.7597</v>
      </c>
      <c r="N144" s="132">
        <f t="shared" si="32"/>
        <v>1649.06</v>
      </c>
      <c r="O144" s="133">
        <f t="shared" si="33"/>
        <v>1646.342</v>
      </c>
      <c r="P144" s="45"/>
      <c r="R144" s="45"/>
      <c r="T144" s="45"/>
      <c r="V144" s="45"/>
    </row>
    <row r="145">
      <c r="A145" s="25" t="s">
        <v>21</v>
      </c>
      <c r="B145" s="5" t="s">
        <v>17</v>
      </c>
      <c r="C145" s="27">
        <v>3930.0</v>
      </c>
      <c r="D145" s="27">
        <v>1960.0</v>
      </c>
      <c r="E145" s="27">
        <v>1530.0</v>
      </c>
      <c r="F145" s="27">
        <v>4880.0</v>
      </c>
      <c r="G145" s="27">
        <v>2560.0</v>
      </c>
      <c r="H145" s="27">
        <v>1390.0</v>
      </c>
      <c r="I145" s="27">
        <v>1420.0</v>
      </c>
      <c r="J145" s="27">
        <v>2540.0</v>
      </c>
      <c r="K145" s="27">
        <v>3520.0</v>
      </c>
      <c r="L145" s="27">
        <v>5500.0</v>
      </c>
      <c r="M145" s="29">
        <f t="shared" si="31"/>
        <v>2923</v>
      </c>
      <c r="N145" s="30">
        <f t="shared" si="32"/>
        <v>5500</v>
      </c>
      <c r="O145" s="31">
        <f t="shared" si="33"/>
        <v>4942</v>
      </c>
      <c r="P145" s="45"/>
      <c r="R145" s="45"/>
      <c r="T145" s="45"/>
      <c r="V145" s="45"/>
    </row>
    <row r="146">
      <c r="A146" s="32"/>
      <c r="B146" s="62" t="s">
        <v>18</v>
      </c>
      <c r="C146" s="27">
        <v>3941.56</v>
      </c>
      <c r="D146" s="27">
        <v>1959.54</v>
      </c>
      <c r="E146" s="27">
        <v>1526.73</v>
      </c>
      <c r="F146" s="27">
        <v>4880.96</v>
      </c>
      <c r="G146" s="27">
        <v>2558.06</v>
      </c>
      <c r="H146" s="27">
        <v>1385.79</v>
      </c>
      <c r="I146" s="27">
        <v>1431.17</v>
      </c>
      <c r="J146" s="27">
        <v>2548.55</v>
      </c>
      <c r="K146" s="27">
        <v>3528.1</v>
      </c>
      <c r="L146" s="27">
        <v>5504.94</v>
      </c>
      <c r="M146" s="63">
        <f t="shared" si="31"/>
        <v>2926.54</v>
      </c>
      <c r="N146" s="30">
        <f t="shared" si="32"/>
        <v>5504.94</v>
      </c>
      <c r="O146" s="31">
        <f t="shared" si="33"/>
        <v>4943.358</v>
      </c>
      <c r="P146" s="45"/>
      <c r="R146" s="45"/>
      <c r="T146" s="45"/>
      <c r="V146" s="45"/>
    </row>
    <row r="147">
      <c r="A147" s="124" t="s">
        <v>22</v>
      </c>
      <c r="B147" s="125" t="s">
        <v>17</v>
      </c>
      <c r="C147" s="126">
        <v>5070.0</v>
      </c>
      <c r="D147" s="126">
        <v>5590.0</v>
      </c>
      <c r="E147" s="126">
        <v>4400.0</v>
      </c>
      <c r="F147" s="126">
        <v>6390.0</v>
      </c>
      <c r="G147" s="126">
        <v>3980.0</v>
      </c>
      <c r="H147" s="126">
        <v>2570.0</v>
      </c>
      <c r="I147" s="126">
        <v>2650.0</v>
      </c>
      <c r="J147" s="126">
        <v>4810.0</v>
      </c>
      <c r="K147" s="126">
        <v>6780.0</v>
      </c>
      <c r="L147" s="126">
        <v>6820.0</v>
      </c>
      <c r="M147" s="134">
        <f t="shared" si="31"/>
        <v>4906</v>
      </c>
      <c r="N147" s="132">
        <f t="shared" si="32"/>
        <v>6820</v>
      </c>
      <c r="O147" s="133">
        <f t="shared" si="33"/>
        <v>6784</v>
      </c>
      <c r="P147" s="45"/>
      <c r="R147" s="45"/>
      <c r="T147" s="45"/>
      <c r="V147" s="45"/>
    </row>
    <row r="148">
      <c r="A148" s="32"/>
      <c r="B148" s="136" t="s">
        <v>18</v>
      </c>
      <c r="C148" s="137">
        <v>5083.99</v>
      </c>
      <c r="D148" s="137">
        <v>5606.13</v>
      </c>
      <c r="E148" s="137">
        <v>4409.71</v>
      </c>
      <c r="F148" s="137">
        <v>6406.8</v>
      </c>
      <c r="G148" s="137">
        <v>3986.32</v>
      </c>
      <c r="H148" s="137">
        <v>2572.46</v>
      </c>
      <c r="I148" s="137">
        <v>2655.0</v>
      </c>
      <c r="J148" s="137">
        <v>4826.48</v>
      </c>
      <c r="K148" s="137">
        <v>6800.65</v>
      </c>
      <c r="L148" s="137">
        <v>6831.71</v>
      </c>
      <c r="M148" s="138">
        <f t="shared" si="31"/>
        <v>4917.925</v>
      </c>
      <c r="N148" s="139">
        <f t="shared" si="32"/>
        <v>6831.71</v>
      </c>
      <c r="O148" s="140">
        <f t="shared" si="33"/>
        <v>6803.756</v>
      </c>
      <c r="P148" s="45"/>
      <c r="R148" s="45"/>
      <c r="T148" s="45"/>
      <c r="V148" s="45"/>
    </row>
    <row r="149">
      <c r="O149" s="41"/>
      <c r="P149" s="45"/>
      <c r="R149" s="45"/>
      <c r="T149" s="45"/>
      <c r="V149" s="45"/>
    </row>
    <row r="150">
      <c r="A150" s="1" t="s">
        <v>66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45"/>
      <c r="R150" s="45"/>
      <c r="T150" s="45"/>
      <c r="V150" s="45"/>
    </row>
    <row r="151">
      <c r="A151" s="4" t="s">
        <v>1</v>
      </c>
      <c r="B151" s="4" t="s">
        <v>2</v>
      </c>
      <c r="C151" s="6" t="s">
        <v>3</v>
      </c>
      <c r="D151" s="6" t="s">
        <v>4</v>
      </c>
      <c r="E151" s="6" t="s">
        <v>5</v>
      </c>
      <c r="F151" s="6" t="s">
        <v>6</v>
      </c>
      <c r="G151" s="6" t="s">
        <v>7</v>
      </c>
      <c r="H151" s="6" t="s">
        <v>8</v>
      </c>
      <c r="I151" s="6" t="s">
        <v>9</v>
      </c>
      <c r="J151" s="6" t="s">
        <v>10</v>
      </c>
      <c r="K151" s="6" t="s">
        <v>11</v>
      </c>
      <c r="L151" s="6" t="s">
        <v>12</v>
      </c>
      <c r="M151" s="7" t="s">
        <v>13</v>
      </c>
      <c r="N151" s="7" t="s">
        <v>14</v>
      </c>
      <c r="O151" s="8" t="s">
        <v>15</v>
      </c>
      <c r="P151" s="45"/>
      <c r="R151" s="45"/>
      <c r="T151" s="45"/>
      <c r="V151" s="45"/>
    </row>
    <row r="152">
      <c r="A152" s="124" t="s">
        <v>16</v>
      </c>
      <c r="B152" s="125" t="s">
        <v>17</v>
      </c>
      <c r="C152" s="126">
        <v>240.0</v>
      </c>
      <c r="D152" s="126">
        <v>300.0</v>
      </c>
      <c r="E152" s="126">
        <v>240.0</v>
      </c>
      <c r="F152" s="126">
        <v>230.0</v>
      </c>
      <c r="G152" s="126">
        <v>220.0</v>
      </c>
      <c r="H152" s="126">
        <v>280.0</v>
      </c>
      <c r="I152" s="126">
        <v>280.0</v>
      </c>
      <c r="J152" s="126">
        <v>240.0</v>
      </c>
      <c r="K152" s="126">
        <v>290.0</v>
      </c>
      <c r="L152" s="126">
        <v>210.0</v>
      </c>
      <c r="M152" s="127">
        <f t="shared" ref="M152:M161" si="34">AVERAGE(C152:L152)</f>
        <v>253</v>
      </c>
      <c r="N152" s="128">
        <f t="shared" ref="N152:N161" si="35">MAX(C152:L152)</f>
        <v>300</v>
      </c>
      <c r="O152" s="129">
        <f t="shared" ref="O152:O161" si="36">_xlfn.PERCENTILE.INC(C152:L152, 0.9)</f>
        <v>291</v>
      </c>
      <c r="P152" s="45"/>
      <c r="R152" s="45"/>
      <c r="T152" s="45"/>
      <c r="V152" s="45"/>
    </row>
    <row r="153">
      <c r="A153" s="32"/>
      <c r="B153" s="130" t="s">
        <v>18</v>
      </c>
      <c r="C153" s="126">
        <v>243.972</v>
      </c>
      <c r="D153" s="126">
        <v>305.712</v>
      </c>
      <c r="E153" s="126">
        <v>236.703</v>
      </c>
      <c r="F153" s="126">
        <v>238.098</v>
      </c>
      <c r="G153" s="126">
        <v>228.434</v>
      </c>
      <c r="H153" s="126">
        <v>277.874</v>
      </c>
      <c r="I153" s="126">
        <v>280.673</v>
      </c>
      <c r="J153" s="126">
        <v>232.192</v>
      </c>
      <c r="K153" s="126">
        <v>291.016</v>
      </c>
      <c r="L153" s="126">
        <v>210.619</v>
      </c>
      <c r="M153" s="131">
        <f t="shared" si="34"/>
        <v>254.5293</v>
      </c>
      <c r="N153" s="132">
        <f t="shared" si="35"/>
        <v>305.712</v>
      </c>
      <c r="O153" s="133">
        <f t="shared" si="36"/>
        <v>292.4856</v>
      </c>
      <c r="P153" s="45"/>
      <c r="R153" s="45"/>
      <c r="T153" s="45"/>
      <c r="V153" s="45"/>
    </row>
    <row r="154">
      <c r="A154" s="25" t="s">
        <v>19</v>
      </c>
      <c r="B154" s="5" t="s">
        <v>17</v>
      </c>
      <c r="C154" s="27">
        <v>580.0</v>
      </c>
      <c r="D154" s="27">
        <v>340.0</v>
      </c>
      <c r="E154" s="27">
        <v>460.0</v>
      </c>
      <c r="F154" s="27">
        <v>380.0</v>
      </c>
      <c r="G154" s="27">
        <v>350.0</v>
      </c>
      <c r="H154" s="27">
        <v>370.0</v>
      </c>
      <c r="I154" s="27">
        <v>370.0</v>
      </c>
      <c r="J154" s="27">
        <v>530.0</v>
      </c>
      <c r="K154" s="27">
        <v>330.0</v>
      </c>
      <c r="L154" s="27">
        <v>520.0</v>
      </c>
      <c r="M154" s="29">
        <f t="shared" si="34"/>
        <v>423</v>
      </c>
      <c r="N154" s="30">
        <f t="shared" si="35"/>
        <v>580</v>
      </c>
      <c r="O154" s="31">
        <f t="shared" si="36"/>
        <v>535</v>
      </c>
      <c r="P154" s="45"/>
      <c r="R154" s="45"/>
      <c r="T154" s="45"/>
      <c r="V154" s="45"/>
    </row>
    <row r="155">
      <c r="A155" s="32"/>
      <c r="B155" s="62" t="s">
        <v>18</v>
      </c>
      <c r="C155" s="27">
        <v>581.063</v>
      </c>
      <c r="D155" s="27">
        <v>336.922</v>
      </c>
      <c r="E155" s="27">
        <v>452.699</v>
      </c>
      <c r="F155" s="27">
        <v>377.311</v>
      </c>
      <c r="G155" s="27">
        <v>350.589</v>
      </c>
      <c r="H155" s="27">
        <v>357.814</v>
      </c>
      <c r="I155" s="27">
        <v>368.371</v>
      </c>
      <c r="J155" s="27">
        <v>532.288</v>
      </c>
      <c r="K155" s="27">
        <v>329.334</v>
      </c>
      <c r="L155" s="27">
        <v>520.553</v>
      </c>
      <c r="M155" s="63">
        <f t="shared" si="34"/>
        <v>420.6944</v>
      </c>
      <c r="N155" s="30">
        <f t="shared" si="35"/>
        <v>581.063</v>
      </c>
      <c r="O155" s="31">
        <f t="shared" si="36"/>
        <v>537.1655</v>
      </c>
      <c r="P155" s="45"/>
      <c r="R155" s="45"/>
      <c r="T155" s="45"/>
      <c r="V155" s="45"/>
    </row>
    <row r="156">
      <c r="A156" s="124" t="s">
        <v>20</v>
      </c>
      <c r="B156" s="125" t="s">
        <v>17</v>
      </c>
      <c r="C156" s="126">
        <v>820.0</v>
      </c>
      <c r="D156" s="126">
        <v>750.0</v>
      </c>
      <c r="E156" s="126">
        <v>1000.0</v>
      </c>
      <c r="F156" s="126">
        <v>670.0</v>
      </c>
      <c r="G156" s="126">
        <v>820.0</v>
      </c>
      <c r="H156" s="126">
        <v>740.0</v>
      </c>
      <c r="I156" s="126">
        <v>720.0</v>
      </c>
      <c r="J156" s="126">
        <v>850.0</v>
      </c>
      <c r="K156" s="126">
        <v>640.0</v>
      </c>
      <c r="L156" s="126">
        <v>760.0</v>
      </c>
      <c r="M156" s="134">
        <f t="shared" si="34"/>
        <v>777</v>
      </c>
      <c r="N156" s="132">
        <f t="shared" si="35"/>
        <v>1000</v>
      </c>
      <c r="O156" s="133">
        <f t="shared" si="36"/>
        <v>865</v>
      </c>
      <c r="P156" s="45"/>
      <c r="R156" s="45"/>
      <c r="T156" s="45"/>
      <c r="V156" s="45"/>
    </row>
    <row r="157">
      <c r="A157" s="32"/>
      <c r="B157" s="135" t="s">
        <v>18</v>
      </c>
      <c r="C157" s="126">
        <v>821.918</v>
      </c>
      <c r="D157" s="126">
        <v>749.867</v>
      </c>
      <c r="E157" s="126">
        <v>1004.89</v>
      </c>
      <c r="F157" s="126">
        <v>671.527</v>
      </c>
      <c r="G157" s="126">
        <v>810.478</v>
      </c>
      <c r="H157" s="126">
        <v>738.736</v>
      </c>
      <c r="I157" s="126">
        <v>720.217</v>
      </c>
      <c r="J157" s="126">
        <v>845.308</v>
      </c>
      <c r="K157" s="126">
        <v>649.06</v>
      </c>
      <c r="L157" s="126">
        <v>761.552</v>
      </c>
      <c r="M157" s="131">
        <f t="shared" si="34"/>
        <v>777.3553</v>
      </c>
      <c r="N157" s="132">
        <f t="shared" si="35"/>
        <v>1004.89</v>
      </c>
      <c r="O157" s="133">
        <f t="shared" si="36"/>
        <v>861.2662</v>
      </c>
      <c r="P157" s="45"/>
      <c r="R157" s="45"/>
      <c r="T157" s="45"/>
      <c r="V157" s="45"/>
    </row>
    <row r="158">
      <c r="A158" s="25" t="s">
        <v>21</v>
      </c>
      <c r="B158" s="5" t="s">
        <v>17</v>
      </c>
      <c r="C158" s="27">
        <v>1520.0</v>
      </c>
      <c r="D158" s="27">
        <v>1760.0</v>
      </c>
      <c r="E158" s="27">
        <v>1390.0</v>
      </c>
      <c r="F158" s="27">
        <v>1270.0</v>
      </c>
      <c r="G158" s="27">
        <v>1290.0</v>
      </c>
      <c r="H158" s="27">
        <v>2560.0</v>
      </c>
      <c r="I158" s="27">
        <v>2100.0</v>
      </c>
      <c r="J158" s="27">
        <v>1240.0</v>
      </c>
      <c r="K158" s="27">
        <v>2590.0</v>
      </c>
      <c r="L158" s="27">
        <v>1260.0</v>
      </c>
      <c r="M158" s="29">
        <f t="shared" si="34"/>
        <v>1698</v>
      </c>
      <c r="N158" s="30">
        <f t="shared" si="35"/>
        <v>2590</v>
      </c>
      <c r="O158" s="31">
        <f t="shared" si="36"/>
        <v>2563</v>
      </c>
      <c r="P158" s="45"/>
      <c r="R158" s="45"/>
      <c r="T158" s="45"/>
      <c r="V158" s="45"/>
    </row>
    <row r="159">
      <c r="A159" s="32"/>
      <c r="B159" s="62" t="s">
        <v>18</v>
      </c>
      <c r="C159" s="27">
        <v>1519.01</v>
      </c>
      <c r="D159" s="27">
        <v>1769.82</v>
      </c>
      <c r="E159" s="27">
        <v>1389.84</v>
      </c>
      <c r="F159" s="27">
        <v>1269.63</v>
      </c>
      <c r="G159" s="27">
        <v>1297.32</v>
      </c>
      <c r="H159" s="27">
        <v>2574.5</v>
      </c>
      <c r="I159" s="27">
        <v>2107.11</v>
      </c>
      <c r="J159" s="27">
        <v>1254.41</v>
      </c>
      <c r="K159" s="27">
        <v>2596.82</v>
      </c>
      <c r="L159" s="27">
        <v>1258.24</v>
      </c>
      <c r="M159" s="63">
        <f t="shared" si="34"/>
        <v>1703.67</v>
      </c>
      <c r="N159" s="30">
        <f t="shared" si="35"/>
        <v>2596.82</v>
      </c>
      <c r="O159" s="31">
        <f t="shared" si="36"/>
        <v>2576.732</v>
      </c>
      <c r="P159" s="45"/>
      <c r="R159" s="45"/>
      <c r="T159" s="45"/>
      <c r="V159" s="45"/>
    </row>
    <row r="160">
      <c r="A160" s="124" t="s">
        <v>22</v>
      </c>
      <c r="B160" s="125" t="s">
        <v>17</v>
      </c>
      <c r="C160" s="126">
        <v>6820.0</v>
      </c>
      <c r="D160" s="126">
        <v>4650.0</v>
      </c>
      <c r="E160" s="126">
        <v>2990.0</v>
      </c>
      <c r="F160" s="126">
        <v>3240.0</v>
      </c>
      <c r="G160" s="126">
        <v>5750.0</v>
      </c>
      <c r="H160" s="126">
        <v>6400.0</v>
      </c>
      <c r="I160" s="126">
        <v>4720.0</v>
      </c>
      <c r="J160" s="126">
        <v>3680.0</v>
      </c>
      <c r="K160" s="126">
        <v>6150.0</v>
      </c>
      <c r="L160" s="126">
        <v>8060.0</v>
      </c>
      <c r="M160" s="134">
        <f t="shared" si="34"/>
        <v>5246</v>
      </c>
      <c r="N160" s="132">
        <f t="shared" si="35"/>
        <v>8060</v>
      </c>
      <c r="O160" s="133">
        <f t="shared" si="36"/>
        <v>6944</v>
      </c>
      <c r="P160" s="45"/>
      <c r="R160" s="45"/>
      <c r="T160" s="45"/>
      <c r="V160" s="45"/>
    </row>
    <row r="161">
      <c r="A161" s="32"/>
      <c r="B161" s="136" t="s">
        <v>18</v>
      </c>
      <c r="C161" s="137">
        <v>6836.8</v>
      </c>
      <c r="D161" s="137">
        <v>4655.36</v>
      </c>
      <c r="E161" s="137">
        <v>3000.49</v>
      </c>
      <c r="F161" s="137">
        <v>3247.17</v>
      </c>
      <c r="G161" s="137">
        <v>5757.25</v>
      </c>
      <c r="H161" s="137">
        <v>6409.54</v>
      </c>
      <c r="I161" s="137">
        <v>4730.56</v>
      </c>
      <c r="J161" s="137">
        <v>3694.63</v>
      </c>
      <c r="K161" s="137">
        <v>6170.37</v>
      </c>
      <c r="L161" s="137">
        <v>8073.87</v>
      </c>
      <c r="M161" s="138">
        <f t="shared" si="34"/>
        <v>5257.604</v>
      </c>
      <c r="N161" s="139">
        <f t="shared" si="35"/>
        <v>8073.87</v>
      </c>
      <c r="O161" s="140">
        <f t="shared" si="36"/>
        <v>6960.507</v>
      </c>
      <c r="P161" s="45"/>
      <c r="R161" s="45"/>
      <c r="T161" s="45"/>
      <c r="V161" s="45"/>
    </row>
    <row r="162">
      <c r="O162" s="41"/>
      <c r="P162" s="45"/>
      <c r="R162" s="45"/>
      <c r="T162" s="45"/>
      <c r="V162" s="45"/>
    </row>
    <row r="163">
      <c r="A163" s="74"/>
      <c r="P163" s="45"/>
      <c r="R163" s="45"/>
      <c r="T163" s="45"/>
      <c r="V163" s="45"/>
    </row>
    <row r="164">
      <c r="O164" s="41"/>
      <c r="P164" s="45"/>
      <c r="R164" s="45"/>
      <c r="T164" s="45"/>
      <c r="V164" s="45"/>
    </row>
    <row r="165">
      <c r="A165" s="1" t="s">
        <v>67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45"/>
      <c r="R165" s="45"/>
      <c r="T165" s="45"/>
      <c r="V165" s="45"/>
    </row>
    <row r="166">
      <c r="A166" s="4" t="s">
        <v>1</v>
      </c>
      <c r="B166" s="4" t="s">
        <v>2</v>
      </c>
      <c r="C166" s="6" t="s">
        <v>3</v>
      </c>
      <c r="D166" s="6" t="s">
        <v>4</v>
      </c>
      <c r="E166" s="6" t="s">
        <v>5</v>
      </c>
      <c r="F166" s="6" t="s">
        <v>6</v>
      </c>
      <c r="G166" s="6" t="s">
        <v>7</v>
      </c>
      <c r="H166" s="6" t="s">
        <v>8</v>
      </c>
      <c r="I166" s="6" t="s">
        <v>9</v>
      </c>
      <c r="J166" s="6" t="s">
        <v>10</v>
      </c>
      <c r="K166" s="6" t="s">
        <v>11</v>
      </c>
      <c r="L166" s="6" t="s">
        <v>12</v>
      </c>
      <c r="M166" s="7" t="s">
        <v>13</v>
      </c>
      <c r="N166" s="7" t="s">
        <v>14</v>
      </c>
      <c r="O166" s="8" t="s">
        <v>15</v>
      </c>
      <c r="P166" s="45"/>
      <c r="R166" s="45"/>
      <c r="T166" s="45"/>
      <c r="V166" s="45"/>
    </row>
    <row r="167">
      <c r="A167" s="141" t="s">
        <v>16</v>
      </c>
      <c r="B167" s="142" t="s">
        <v>17</v>
      </c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4"/>
      <c r="N167" s="145"/>
      <c r="O167" s="146"/>
      <c r="P167" s="45"/>
      <c r="R167" s="45"/>
      <c r="T167" s="45"/>
      <c r="V167" s="45"/>
    </row>
    <row r="168">
      <c r="A168" s="32"/>
      <c r="B168" s="147" t="s">
        <v>18</v>
      </c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8"/>
      <c r="N168" s="149"/>
      <c r="O168" s="150"/>
      <c r="P168" s="45"/>
      <c r="R168" s="45"/>
      <c r="T168" s="45"/>
      <c r="V168" s="45"/>
    </row>
    <row r="169">
      <c r="A169" s="25" t="s">
        <v>19</v>
      </c>
      <c r="B169" s="5" t="s">
        <v>17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9"/>
      <c r="O169" s="31"/>
      <c r="P169" s="45"/>
      <c r="R169" s="45"/>
      <c r="T169" s="45"/>
      <c r="V169" s="45"/>
    </row>
    <row r="170">
      <c r="A170" s="32"/>
      <c r="B170" s="62" t="s">
        <v>18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63"/>
      <c r="O170" s="31"/>
      <c r="P170" s="45"/>
      <c r="R170" s="45"/>
      <c r="T170" s="45"/>
      <c r="V170" s="45"/>
    </row>
    <row r="171">
      <c r="A171" s="141" t="s">
        <v>20</v>
      </c>
      <c r="B171" s="142" t="s">
        <v>17</v>
      </c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51"/>
      <c r="N171" s="149"/>
      <c r="O171" s="150"/>
      <c r="P171" s="45"/>
      <c r="R171" s="45"/>
      <c r="T171" s="45"/>
      <c r="V171" s="45"/>
    </row>
    <row r="172">
      <c r="A172" s="32"/>
      <c r="B172" s="152" t="s">
        <v>18</v>
      </c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8"/>
      <c r="N172" s="149"/>
      <c r="O172" s="150"/>
      <c r="P172" s="45"/>
      <c r="R172" s="45"/>
      <c r="T172" s="45"/>
      <c r="V172" s="45"/>
    </row>
    <row r="173">
      <c r="A173" s="25" t="s">
        <v>21</v>
      </c>
      <c r="B173" s="5" t="s">
        <v>17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9"/>
      <c r="O173" s="31"/>
      <c r="P173" s="45"/>
      <c r="R173" s="45"/>
      <c r="T173" s="45"/>
      <c r="V173" s="45"/>
    </row>
    <row r="174">
      <c r="A174" s="32"/>
      <c r="B174" s="62" t="s">
        <v>18</v>
      </c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63"/>
      <c r="O174" s="31"/>
      <c r="P174" s="45"/>
      <c r="R174" s="45"/>
      <c r="T174" s="45"/>
      <c r="V174" s="45"/>
    </row>
    <row r="175">
      <c r="A175" s="141" t="s">
        <v>22</v>
      </c>
      <c r="B175" s="142" t="s">
        <v>17</v>
      </c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51"/>
      <c r="N175" s="149"/>
      <c r="O175" s="150"/>
      <c r="P175" s="45"/>
      <c r="R175" s="45"/>
      <c r="T175" s="45"/>
      <c r="V175" s="45"/>
    </row>
    <row r="176">
      <c r="A176" s="32"/>
      <c r="B176" s="153" t="s">
        <v>18</v>
      </c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5"/>
      <c r="N176" s="156"/>
      <c r="O176" s="157"/>
      <c r="P176" s="45"/>
      <c r="R176" s="45"/>
      <c r="T176" s="45"/>
      <c r="V176" s="45"/>
    </row>
    <row r="177">
      <c r="O177" s="41"/>
      <c r="P177" s="45"/>
      <c r="R177" s="45"/>
      <c r="T177" s="45"/>
      <c r="V177" s="45"/>
    </row>
    <row r="178">
      <c r="A178" s="1" t="s">
        <v>68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45"/>
      <c r="R178" s="45"/>
      <c r="T178" s="45"/>
      <c r="V178" s="45"/>
    </row>
    <row r="179">
      <c r="A179" s="4" t="s">
        <v>1</v>
      </c>
      <c r="B179" s="4" t="s">
        <v>2</v>
      </c>
      <c r="C179" s="6" t="s">
        <v>3</v>
      </c>
      <c r="D179" s="6" t="s">
        <v>4</v>
      </c>
      <c r="E179" s="6" t="s">
        <v>5</v>
      </c>
      <c r="F179" s="6" t="s">
        <v>6</v>
      </c>
      <c r="G179" s="6" t="s">
        <v>7</v>
      </c>
      <c r="H179" s="6" t="s">
        <v>8</v>
      </c>
      <c r="I179" s="6" t="s">
        <v>9</v>
      </c>
      <c r="J179" s="6" t="s">
        <v>10</v>
      </c>
      <c r="K179" s="6" t="s">
        <v>11</v>
      </c>
      <c r="L179" s="6" t="s">
        <v>12</v>
      </c>
      <c r="M179" s="7" t="s">
        <v>13</v>
      </c>
      <c r="N179" s="7" t="s">
        <v>14</v>
      </c>
      <c r="O179" s="8" t="s">
        <v>15</v>
      </c>
      <c r="P179" s="45"/>
      <c r="R179" s="45"/>
      <c r="T179" s="45"/>
      <c r="V179" s="45"/>
    </row>
    <row r="180">
      <c r="A180" s="141" t="s">
        <v>16</v>
      </c>
      <c r="B180" s="142" t="s">
        <v>17</v>
      </c>
      <c r="C180" s="143">
        <v>130.0</v>
      </c>
      <c r="D180" s="143">
        <v>120.0</v>
      </c>
      <c r="E180" s="143">
        <v>130.0</v>
      </c>
      <c r="F180" s="143">
        <v>140.0</v>
      </c>
      <c r="G180" s="143">
        <v>120.0</v>
      </c>
      <c r="H180" s="143">
        <v>120.0</v>
      </c>
      <c r="I180" s="143">
        <v>120.0</v>
      </c>
      <c r="J180" s="143">
        <v>120.0</v>
      </c>
      <c r="K180" s="143">
        <v>120.0</v>
      </c>
      <c r="L180" s="143">
        <v>120.0</v>
      </c>
      <c r="M180" s="144">
        <f t="shared" ref="M180:M189" si="37">AVERAGE(C180:L180)</f>
        <v>124</v>
      </c>
      <c r="N180" s="145">
        <f t="shared" ref="N180:N189" si="38">MAX(C180:L180)</f>
        <v>140</v>
      </c>
      <c r="O180" s="146">
        <f t="shared" ref="O180:O189" si="39">_xlfn.PERCENTILE.INC(C180:L180, 0.9)</f>
        <v>131</v>
      </c>
      <c r="P180" s="45"/>
      <c r="R180" s="45"/>
      <c r="T180" s="45"/>
      <c r="V180" s="45"/>
    </row>
    <row r="181">
      <c r="A181" s="32"/>
      <c r="B181" s="147" t="s">
        <v>18</v>
      </c>
      <c r="C181" s="143">
        <v>124.148</v>
      </c>
      <c r="D181" s="143">
        <v>124.263</v>
      </c>
      <c r="E181" s="143">
        <v>122.615</v>
      </c>
      <c r="F181" s="143">
        <v>124.308</v>
      </c>
      <c r="G181" s="143">
        <v>124.611</v>
      </c>
      <c r="H181" s="143">
        <v>124.429</v>
      </c>
      <c r="I181" s="143">
        <v>123.916</v>
      </c>
      <c r="J181" s="143">
        <v>123.997</v>
      </c>
      <c r="K181" s="143">
        <v>122.7</v>
      </c>
      <c r="L181" s="143">
        <v>124.275</v>
      </c>
      <c r="M181" s="148">
        <f t="shared" si="37"/>
        <v>123.9262</v>
      </c>
      <c r="N181" s="149">
        <f t="shared" si="38"/>
        <v>124.611</v>
      </c>
      <c r="O181" s="150">
        <f t="shared" si="39"/>
        <v>124.4472</v>
      </c>
      <c r="P181" s="45"/>
      <c r="R181" s="45"/>
      <c r="T181" s="45"/>
      <c r="V181" s="45"/>
    </row>
    <row r="182">
      <c r="A182" s="25" t="s">
        <v>19</v>
      </c>
      <c r="B182" s="5" t="s">
        <v>17</v>
      </c>
      <c r="C182" s="27">
        <v>230.0</v>
      </c>
      <c r="D182" s="27">
        <v>230.0</v>
      </c>
      <c r="E182" s="27">
        <v>230.0</v>
      </c>
      <c r="F182" s="27">
        <v>230.0</v>
      </c>
      <c r="G182" s="27">
        <v>230.0</v>
      </c>
      <c r="H182" s="27">
        <v>230.0</v>
      </c>
      <c r="I182" s="27">
        <v>240.0</v>
      </c>
      <c r="J182" s="27">
        <v>240.0</v>
      </c>
      <c r="K182" s="27">
        <v>230.0</v>
      </c>
      <c r="L182" s="27">
        <v>230.0</v>
      </c>
      <c r="M182" s="29">
        <f t="shared" si="37"/>
        <v>232</v>
      </c>
      <c r="N182" s="30">
        <f t="shared" si="38"/>
        <v>240</v>
      </c>
      <c r="O182" s="31">
        <f t="shared" si="39"/>
        <v>240</v>
      </c>
      <c r="P182" s="45"/>
      <c r="R182" s="45"/>
      <c r="T182" s="45"/>
      <c r="V182" s="45"/>
    </row>
    <row r="183">
      <c r="A183" s="32"/>
      <c r="B183" s="62" t="s">
        <v>18</v>
      </c>
      <c r="C183" s="27">
        <v>235.973</v>
      </c>
      <c r="D183" s="27">
        <v>235.176</v>
      </c>
      <c r="E183" s="27">
        <v>235.127</v>
      </c>
      <c r="F183" s="27">
        <v>234.433</v>
      </c>
      <c r="G183" s="27">
        <v>233.225</v>
      </c>
      <c r="H183" s="27">
        <v>232.835</v>
      </c>
      <c r="I183" s="27">
        <v>236.16</v>
      </c>
      <c r="J183" s="27">
        <v>235.518</v>
      </c>
      <c r="K183" s="27">
        <v>234.14</v>
      </c>
      <c r="L183" s="27">
        <v>234.525</v>
      </c>
      <c r="M183" s="63">
        <f t="shared" si="37"/>
        <v>234.7112</v>
      </c>
      <c r="N183" s="30">
        <f t="shared" si="38"/>
        <v>236.16</v>
      </c>
      <c r="O183" s="31">
        <f t="shared" si="39"/>
        <v>235.9917</v>
      </c>
      <c r="P183" s="45"/>
      <c r="R183" s="45"/>
      <c r="T183" s="45"/>
      <c r="V183" s="45"/>
    </row>
    <row r="184">
      <c r="A184" s="141" t="s">
        <v>20</v>
      </c>
      <c r="B184" s="142" t="s">
        <v>17</v>
      </c>
      <c r="C184" s="143">
        <v>430.0</v>
      </c>
      <c r="D184" s="143">
        <v>440.0</v>
      </c>
      <c r="E184" s="143">
        <v>440.0</v>
      </c>
      <c r="F184" s="143">
        <v>430.0</v>
      </c>
      <c r="G184" s="143">
        <v>450.0</v>
      </c>
      <c r="H184" s="143">
        <v>440.0</v>
      </c>
      <c r="I184" s="143">
        <v>430.0</v>
      </c>
      <c r="J184" s="143">
        <v>440.0</v>
      </c>
      <c r="K184" s="143">
        <v>440.0</v>
      </c>
      <c r="L184" s="143">
        <v>450.0</v>
      </c>
      <c r="M184" s="151">
        <f t="shared" si="37"/>
        <v>439</v>
      </c>
      <c r="N184" s="149">
        <f t="shared" si="38"/>
        <v>450</v>
      </c>
      <c r="O184" s="150">
        <f t="shared" si="39"/>
        <v>450</v>
      </c>
      <c r="P184" s="45"/>
      <c r="R184" s="45"/>
      <c r="T184" s="45"/>
      <c r="V184" s="45"/>
    </row>
    <row r="185">
      <c r="A185" s="32"/>
      <c r="B185" s="152" t="s">
        <v>18</v>
      </c>
      <c r="C185" s="143">
        <v>440.21</v>
      </c>
      <c r="D185" s="143">
        <v>440.771</v>
      </c>
      <c r="E185" s="143">
        <v>438.808</v>
      </c>
      <c r="F185" s="143">
        <v>440.862</v>
      </c>
      <c r="G185" s="143">
        <v>443.845</v>
      </c>
      <c r="H185" s="143">
        <v>440.369</v>
      </c>
      <c r="I185" s="143">
        <v>439.5</v>
      </c>
      <c r="J185" s="143">
        <v>439.358</v>
      </c>
      <c r="K185" s="143">
        <v>439.065</v>
      </c>
      <c r="L185" s="143">
        <v>440.565</v>
      </c>
      <c r="M185" s="148">
        <f t="shared" si="37"/>
        <v>440.3353</v>
      </c>
      <c r="N185" s="149">
        <f t="shared" si="38"/>
        <v>443.845</v>
      </c>
      <c r="O185" s="150">
        <f t="shared" si="39"/>
        <v>441.1603</v>
      </c>
      <c r="P185" s="45"/>
      <c r="R185" s="45"/>
      <c r="T185" s="45"/>
      <c r="V185" s="45"/>
    </row>
    <row r="186">
      <c r="A186" s="25" t="s">
        <v>21</v>
      </c>
      <c r="B186" s="5" t="s">
        <v>17</v>
      </c>
      <c r="C186" s="27">
        <v>820.0</v>
      </c>
      <c r="D186" s="27">
        <v>820.0</v>
      </c>
      <c r="E186" s="27">
        <v>850.0</v>
      </c>
      <c r="F186" s="27">
        <v>840.0</v>
      </c>
      <c r="G186" s="27">
        <v>830.0</v>
      </c>
      <c r="H186" s="27">
        <v>1240.0</v>
      </c>
      <c r="I186" s="27">
        <v>830.0</v>
      </c>
      <c r="J186" s="27">
        <v>810.0</v>
      </c>
      <c r="K186" s="27">
        <v>850.0</v>
      </c>
      <c r="L186" s="27">
        <v>810.0</v>
      </c>
      <c r="M186" s="29">
        <f t="shared" si="37"/>
        <v>870</v>
      </c>
      <c r="N186" s="30">
        <f t="shared" si="38"/>
        <v>1240</v>
      </c>
      <c r="O186" s="31">
        <f t="shared" si="39"/>
        <v>889</v>
      </c>
      <c r="P186" s="45"/>
      <c r="R186" s="45"/>
      <c r="T186" s="45"/>
      <c r="V186" s="45"/>
    </row>
    <row r="187">
      <c r="A187" s="32"/>
      <c r="B187" s="62" t="s">
        <v>18</v>
      </c>
      <c r="C187" s="27">
        <v>816.881</v>
      </c>
      <c r="D187" s="27">
        <v>815.257</v>
      </c>
      <c r="E187" s="27">
        <v>841.254</v>
      </c>
      <c r="F187" s="27">
        <v>843.872</v>
      </c>
      <c r="G187" s="27">
        <v>833.447</v>
      </c>
      <c r="H187" s="27">
        <v>1237.49</v>
      </c>
      <c r="I187" s="27">
        <v>826.175</v>
      </c>
      <c r="J187" s="27">
        <v>817.177</v>
      </c>
      <c r="K187" s="27">
        <v>840.782</v>
      </c>
      <c r="L187" s="27">
        <v>818.803</v>
      </c>
      <c r="M187" s="63">
        <f t="shared" si="37"/>
        <v>869.1138</v>
      </c>
      <c r="N187" s="30">
        <f t="shared" si="38"/>
        <v>1237.49</v>
      </c>
      <c r="O187" s="31">
        <f t="shared" si="39"/>
        <v>883.2338</v>
      </c>
      <c r="P187" s="45"/>
      <c r="R187" s="45"/>
      <c r="T187" s="45"/>
      <c r="V187" s="45"/>
    </row>
    <row r="188">
      <c r="A188" s="141" t="s">
        <v>22</v>
      </c>
      <c r="B188" s="142" t="s">
        <v>17</v>
      </c>
      <c r="C188" s="143">
        <v>4540.0</v>
      </c>
      <c r="D188" s="143">
        <v>4250.0</v>
      </c>
      <c r="E188" s="143">
        <v>4770.0</v>
      </c>
      <c r="F188" s="143">
        <v>4780.0</v>
      </c>
      <c r="G188" s="143">
        <v>4800.0</v>
      </c>
      <c r="H188" s="143">
        <v>4760.0</v>
      </c>
      <c r="I188" s="143">
        <v>4780.0</v>
      </c>
      <c r="J188" s="143">
        <v>4750.0</v>
      </c>
      <c r="K188" s="143">
        <v>4830.0</v>
      </c>
      <c r="L188" s="143">
        <v>4080.0</v>
      </c>
      <c r="M188" s="151">
        <f t="shared" si="37"/>
        <v>4634</v>
      </c>
      <c r="N188" s="149">
        <f t="shared" si="38"/>
        <v>4830</v>
      </c>
      <c r="O188" s="150">
        <f t="shared" si="39"/>
        <v>4803</v>
      </c>
      <c r="P188" s="45"/>
      <c r="R188" s="45"/>
      <c r="T188" s="45"/>
      <c r="V188" s="45"/>
    </row>
    <row r="189">
      <c r="A189" s="32"/>
      <c r="B189" s="153" t="s">
        <v>18</v>
      </c>
      <c r="C189" s="154">
        <v>4562.27</v>
      </c>
      <c r="D189" s="154">
        <v>4258.09</v>
      </c>
      <c r="E189" s="154">
        <v>4778.39</v>
      </c>
      <c r="F189" s="154">
        <v>4794.46</v>
      </c>
      <c r="G189" s="154">
        <v>4816.24</v>
      </c>
      <c r="H189" s="154">
        <v>4772.3</v>
      </c>
      <c r="I189" s="154">
        <v>4790.65</v>
      </c>
      <c r="J189" s="154">
        <v>4769.33</v>
      </c>
      <c r="K189" s="154">
        <v>4838.93</v>
      </c>
      <c r="L189" s="154">
        <v>4091.42</v>
      </c>
      <c r="M189" s="155">
        <f t="shared" si="37"/>
        <v>4647.208</v>
      </c>
      <c r="N189" s="156">
        <f t="shared" si="38"/>
        <v>4838.93</v>
      </c>
      <c r="O189" s="157">
        <f t="shared" si="39"/>
        <v>4818.509</v>
      </c>
      <c r="P189" s="45"/>
      <c r="R189" s="45"/>
      <c r="T189" s="45"/>
      <c r="V189" s="45"/>
    </row>
    <row r="190">
      <c r="O190" s="41"/>
      <c r="P190" s="45"/>
      <c r="R190" s="45"/>
      <c r="T190" s="45"/>
      <c r="V190" s="45"/>
    </row>
    <row r="191">
      <c r="A191" s="1" t="s">
        <v>69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45"/>
      <c r="R191" s="45"/>
      <c r="T191" s="45"/>
      <c r="V191" s="45"/>
    </row>
    <row r="192">
      <c r="A192" s="4" t="s">
        <v>1</v>
      </c>
      <c r="B192" s="4" t="s">
        <v>2</v>
      </c>
      <c r="C192" s="6" t="s">
        <v>3</v>
      </c>
      <c r="D192" s="6" t="s">
        <v>4</v>
      </c>
      <c r="E192" s="6" t="s">
        <v>5</v>
      </c>
      <c r="F192" s="6" t="s">
        <v>6</v>
      </c>
      <c r="G192" s="6" t="s">
        <v>7</v>
      </c>
      <c r="H192" s="6" t="s">
        <v>8</v>
      </c>
      <c r="I192" s="6" t="s">
        <v>9</v>
      </c>
      <c r="J192" s="6" t="s">
        <v>10</v>
      </c>
      <c r="K192" s="6" t="s">
        <v>11</v>
      </c>
      <c r="L192" s="6" t="s">
        <v>12</v>
      </c>
      <c r="M192" s="7" t="s">
        <v>13</v>
      </c>
      <c r="N192" s="7" t="s">
        <v>14</v>
      </c>
      <c r="O192" s="8" t="s">
        <v>15</v>
      </c>
      <c r="P192" s="45"/>
      <c r="R192" s="45"/>
      <c r="T192" s="45"/>
      <c r="V192" s="45"/>
    </row>
    <row r="193">
      <c r="A193" s="141" t="s">
        <v>16</v>
      </c>
      <c r="B193" s="142" t="s">
        <v>17</v>
      </c>
      <c r="C193" s="143">
        <v>190.0</v>
      </c>
      <c r="D193" s="143">
        <v>190.0</v>
      </c>
      <c r="E193" s="143">
        <v>200.0</v>
      </c>
      <c r="F193" s="143">
        <v>200.0</v>
      </c>
      <c r="G193" s="143">
        <v>200.0</v>
      </c>
      <c r="H193" s="143">
        <v>190.0</v>
      </c>
      <c r="I193" s="143">
        <v>230.0</v>
      </c>
      <c r="J193" s="143">
        <v>230.0</v>
      </c>
      <c r="K193" s="143">
        <v>210.0</v>
      </c>
      <c r="L193" s="143">
        <v>200.0</v>
      </c>
      <c r="M193" s="144">
        <f t="shared" ref="M193:M202" si="40">AVERAGE(C193:L193)</f>
        <v>204</v>
      </c>
      <c r="N193" s="145">
        <f t="shared" ref="N193:N202" si="41">MAX(C193:L193)</f>
        <v>230</v>
      </c>
      <c r="O193" s="146">
        <f t="shared" ref="O193:O202" si="42">_xlfn.PERCENTILE.INC(C193:L193, 0.9)</f>
        <v>230</v>
      </c>
      <c r="P193" s="45"/>
      <c r="R193" s="45"/>
      <c r="T193" s="45"/>
      <c r="V193" s="45"/>
    </row>
    <row r="194">
      <c r="A194" s="32"/>
      <c r="B194" s="147" t="s">
        <v>18</v>
      </c>
      <c r="C194" s="143">
        <v>191.279</v>
      </c>
      <c r="D194" s="143">
        <v>194.528</v>
      </c>
      <c r="E194" s="143">
        <v>194.476</v>
      </c>
      <c r="F194" s="143">
        <v>195.361</v>
      </c>
      <c r="G194" s="143">
        <v>195.315</v>
      </c>
      <c r="H194" s="143">
        <v>194.936</v>
      </c>
      <c r="I194" s="143">
        <v>232.594</v>
      </c>
      <c r="J194" s="143">
        <v>226.447</v>
      </c>
      <c r="K194" s="143">
        <v>194.732</v>
      </c>
      <c r="L194" s="143">
        <v>194.458</v>
      </c>
      <c r="M194" s="148">
        <f t="shared" si="40"/>
        <v>201.4126</v>
      </c>
      <c r="N194" s="149">
        <f t="shared" si="41"/>
        <v>232.594</v>
      </c>
      <c r="O194" s="150">
        <f t="shared" si="42"/>
        <v>227.0617</v>
      </c>
      <c r="P194" s="45"/>
      <c r="R194" s="45"/>
      <c r="T194" s="45"/>
      <c r="V194" s="45"/>
    </row>
    <row r="195">
      <c r="A195" s="25" t="s">
        <v>19</v>
      </c>
      <c r="B195" s="5" t="s">
        <v>17</v>
      </c>
      <c r="C195" s="27">
        <v>380.0</v>
      </c>
      <c r="D195" s="27">
        <v>370.0</v>
      </c>
      <c r="E195" s="27">
        <v>370.0</v>
      </c>
      <c r="F195" s="27">
        <v>370.0</v>
      </c>
      <c r="G195" s="27">
        <v>380.0</v>
      </c>
      <c r="H195" s="27">
        <v>380.0</v>
      </c>
      <c r="I195" s="27">
        <v>310.0</v>
      </c>
      <c r="J195" s="27">
        <v>380.0</v>
      </c>
      <c r="K195" s="27">
        <v>370.0</v>
      </c>
      <c r="L195" s="27">
        <v>380.0</v>
      </c>
      <c r="M195" s="29">
        <f t="shared" si="40"/>
        <v>369</v>
      </c>
      <c r="N195" s="30">
        <f t="shared" si="41"/>
        <v>380</v>
      </c>
      <c r="O195" s="31">
        <f t="shared" si="42"/>
        <v>380</v>
      </c>
      <c r="P195" s="45"/>
      <c r="R195" s="45"/>
      <c r="T195" s="45"/>
      <c r="V195" s="45"/>
    </row>
    <row r="196">
      <c r="A196" s="32"/>
      <c r="B196" s="62" t="s">
        <v>18</v>
      </c>
      <c r="C196" s="27">
        <v>378.757</v>
      </c>
      <c r="D196" s="27">
        <v>384.143</v>
      </c>
      <c r="E196" s="27">
        <v>376.189</v>
      </c>
      <c r="F196" s="27">
        <v>377.644</v>
      </c>
      <c r="G196" s="27">
        <v>383.896</v>
      </c>
      <c r="H196" s="27">
        <v>375.287</v>
      </c>
      <c r="I196" s="27">
        <v>316.106</v>
      </c>
      <c r="J196" s="27">
        <v>373.879</v>
      </c>
      <c r="K196" s="27">
        <v>373.578</v>
      </c>
      <c r="L196" s="27">
        <v>382.624</v>
      </c>
      <c r="M196" s="63">
        <f t="shared" si="40"/>
        <v>372.2103</v>
      </c>
      <c r="N196" s="30">
        <f t="shared" si="41"/>
        <v>384.143</v>
      </c>
      <c r="O196" s="31">
        <f t="shared" si="42"/>
        <v>383.9207</v>
      </c>
      <c r="P196" s="45"/>
      <c r="R196" s="45"/>
      <c r="T196" s="45"/>
      <c r="V196" s="45"/>
    </row>
    <row r="197">
      <c r="A197" s="141" t="s">
        <v>20</v>
      </c>
      <c r="B197" s="142" t="s">
        <v>17</v>
      </c>
      <c r="C197" s="143">
        <v>660.0</v>
      </c>
      <c r="D197" s="143">
        <v>670.0</v>
      </c>
      <c r="E197" s="143">
        <v>1100.0</v>
      </c>
      <c r="F197" s="143">
        <v>1100.0</v>
      </c>
      <c r="G197" s="143">
        <v>660.0</v>
      </c>
      <c r="H197" s="143">
        <v>1110.0</v>
      </c>
      <c r="I197" s="143">
        <v>1350.0</v>
      </c>
      <c r="J197" s="143">
        <v>670.0</v>
      </c>
      <c r="K197" s="143">
        <v>670.0</v>
      </c>
      <c r="L197" s="143">
        <v>1100.0</v>
      </c>
      <c r="M197" s="151">
        <f t="shared" si="40"/>
        <v>909</v>
      </c>
      <c r="N197" s="149">
        <f t="shared" si="41"/>
        <v>1350</v>
      </c>
      <c r="O197" s="150">
        <f t="shared" si="42"/>
        <v>1134</v>
      </c>
      <c r="P197" s="45"/>
      <c r="R197" s="45"/>
      <c r="T197" s="45"/>
      <c r="V197" s="45"/>
    </row>
    <row r="198">
      <c r="A198" s="32"/>
      <c r="B198" s="152" t="s">
        <v>18</v>
      </c>
      <c r="C198" s="143">
        <v>669.165</v>
      </c>
      <c r="D198" s="143">
        <v>667.472</v>
      </c>
      <c r="E198" s="143">
        <v>1107.15</v>
      </c>
      <c r="F198" s="143">
        <v>1106.41</v>
      </c>
      <c r="G198" s="143">
        <v>667.9</v>
      </c>
      <c r="H198" s="143">
        <v>1108.97</v>
      </c>
      <c r="I198" s="143">
        <v>1345.15</v>
      </c>
      <c r="J198" s="143">
        <v>670.783</v>
      </c>
      <c r="K198" s="143">
        <v>664.641</v>
      </c>
      <c r="L198" s="143">
        <v>1108.13</v>
      </c>
      <c r="M198" s="148">
        <f t="shared" si="40"/>
        <v>911.5771</v>
      </c>
      <c r="N198" s="149">
        <f t="shared" si="41"/>
        <v>1345.15</v>
      </c>
      <c r="O198" s="150">
        <f t="shared" si="42"/>
        <v>1132.588</v>
      </c>
      <c r="P198" s="45"/>
      <c r="R198" s="45"/>
      <c r="T198" s="45"/>
      <c r="V198" s="45"/>
    </row>
    <row r="199">
      <c r="A199" s="25" t="s">
        <v>21</v>
      </c>
      <c r="B199" s="5" t="s">
        <v>17</v>
      </c>
      <c r="C199" s="27">
        <v>2730.0</v>
      </c>
      <c r="D199" s="27">
        <v>3110.0</v>
      </c>
      <c r="E199" s="27">
        <v>2760.0</v>
      </c>
      <c r="F199" s="27">
        <v>3200.0</v>
      </c>
      <c r="G199" s="27">
        <v>3120.0</v>
      </c>
      <c r="H199" s="27">
        <v>2770.0</v>
      </c>
      <c r="I199" s="27">
        <v>3150.0</v>
      </c>
      <c r="J199" s="27">
        <v>2680.0</v>
      </c>
      <c r="K199" s="27">
        <v>1310.0</v>
      </c>
      <c r="L199" s="27">
        <v>2760.0</v>
      </c>
      <c r="M199" s="29">
        <f t="shared" si="40"/>
        <v>2759</v>
      </c>
      <c r="N199" s="30">
        <f t="shared" si="41"/>
        <v>3200</v>
      </c>
      <c r="O199" s="31">
        <f t="shared" si="42"/>
        <v>3155</v>
      </c>
      <c r="P199" s="45"/>
      <c r="R199" s="45"/>
      <c r="T199" s="45"/>
      <c r="V199" s="45"/>
    </row>
    <row r="200">
      <c r="A200" s="32"/>
      <c r="B200" s="62" t="s">
        <v>18</v>
      </c>
      <c r="C200" s="27">
        <v>2744.99</v>
      </c>
      <c r="D200" s="27">
        <v>3127.34</v>
      </c>
      <c r="E200" s="27">
        <v>2772.1</v>
      </c>
      <c r="F200" s="27">
        <v>3214.37</v>
      </c>
      <c r="G200" s="27">
        <v>3130.58</v>
      </c>
      <c r="H200" s="27">
        <v>2769.37</v>
      </c>
      <c r="I200" s="27">
        <v>3152.68</v>
      </c>
      <c r="J200" s="27">
        <v>2675.04</v>
      </c>
      <c r="K200" s="27">
        <v>1313.94</v>
      </c>
      <c r="L200" s="27">
        <v>2767.74</v>
      </c>
      <c r="M200" s="63">
        <f t="shared" si="40"/>
        <v>2766.815</v>
      </c>
      <c r="N200" s="30">
        <f t="shared" si="41"/>
        <v>3214.37</v>
      </c>
      <c r="O200" s="31">
        <f t="shared" si="42"/>
        <v>3158.849</v>
      </c>
      <c r="P200" s="45"/>
      <c r="R200" s="45"/>
      <c r="T200" s="45"/>
      <c r="V200" s="45"/>
    </row>
    <row r="201">
      <c r="A201" s="141" t="s">
        <v>22</v>
      </c>
      <c r="B201" s="142" t="s">
        <v>17</v>
      </c>
      <c r="C201" s="143">
        <v>4540.0</v>
      </c>
      <c r="D201" s="143">
        <v>6110.0</v>
      </c>
      <c r="E201" s="143">
        <v>3750.0</v>
      </c>
      <c r="F201" s="143">
        <v>2880.0</v>
      </c>
      <c r="G201" s="143">
        <v>6370.0</v>
      </c>
      <c r="H201" s="143">
        <v>2890.0</v>
      </c>
      <c r="I201" s="143">
        <v>4970.0</v>
      </c>
      <c r="J201" s="143">
        <v>5710.0</v>
      </c>
      <c r="K201" s="143">
        <v>4360.0</v>
      </c>
      <c r="L201" s="143">
        <v>2880.0</v>
      </c>
      <c r="M201" s="151">
        <f t="shared" si="40"/>
        <v>4446</v>
      </c>
      <c r="N201" s="149">
        <f t="shared" si="41"/>
        <v>6370</v>
      </c>
      <c r="O201" s="150">
        <f t="shared" si="42"/>
        <v>6136</v>
      </c>
      <c r="P201" s="45"/>
      <c r="R201" s="45"/>
      <c r="T201" s="45"/>
      <c r="V201" s="45"/>
    </row>
    <row r="202">
      <c r="A202" s="32"/>
      <c r="B202" s="153" t="s">
        <v>18</v>
      </c>
      <c r="C202" s="154">
        <v>4557.44</v>
      </c>
      <c r="D202" s="154">
        <v>6129.33</v>
      </c>
      <c r="E202" s="154">
        <v>3763.73</v>
      </c>
      <c r="F202" s="154">
        <v>2894.42</v>
      </c>
      <c r="G202" s="154">
        <v>6387.94</v>
      </c>
      <c r="H202" s="154">
        <v>2896.42</v>
      </c>
      <c r="I202" s="154">
        <v>4985.77</v>
      </c>
      <c r="J202" s="154">
        <v>5718.41</v>
      </c>
      <c r="K202" s="154">
        <v>4382.86</v>
      </c>
      <c r="L202" s="154">
        <v>2891.96</v>
      </c>
      <c r="M202" s="155">
        <f t="shared" si="40"/>
        <v>4460.828</v>
      </c>
      <c r="N202" s="156">
        <f t="shared" si="41"/>
        <v>6387.94</v>
      </c>
      <c r="O202" s="157">
        <f t="shared" si="42"/>
        <v>6155.191</v>
      </c>
      <c r="P202" s="45"/>
      <c r="R202" s="45"/>
      <c r="T202" s="45"/>
      <c r="V202" s="45"/>
    </row>
    <row r="203">
      <c r="O203" s="41"/>
      <c r="P203" s="45"/>
      <c r="R203" s="45"/>
      <c r="T203" s="45"/>
      <c r="V203" s="45"/>
    </row>
    <row r="204">
      <c r="A204" s="158"/>
    </row>
    <row r="205">
      <c r="O205" s="41"/>
      <c r="P205" s="45"/>
      <c r="R205" s="45"/>
      <c r="T205" s="45"/>
      <c r="V205" s="45"/>
    </row>
    <row r="206">
      <c r="A206" s="1" t="s">
        <v>38</v>
      </c>
      <c r="B206" s="2"/>
      <c r="C206" s="2"/>
      <c r="D206" s="2"/>
      <c r="E206" s="2"/>
      <c r="F206" s="2"/>
      <c r="G206" s="2"/>
      <c r="H206" s="2"/>
      <c r="I206" s="2"/>
      <c r="J206" s="2"/>
      <c r="K206" s="3"/>
      <c r="M206" s="1" t="s">
        <v>39</v>
      </c>
      <c r="N206" s="3"/>
      <c r="O206" s="159" t="s">
        <v>40</v>
      </c>
      <c r="P206" s="3"/>
      <c r="Q206" s="1" t="s">
        <v>41</v>
      </c>
      <c r="R206" s="3"/>
      <c r="S206" s="1" t="s">
        <v>42</v>
      </c>
      <c r="T206" s="3"/>
      <c r="U206" s="1" t="s">
        <v>43</v>
      </c>
      <c r="V206" s="3"/>
    </row>
    <row r="207">
      <c r="A207" s="4" t="s">
        <v>1</v>
      </c>
      <c r="B207" s="4" t="s">
        <v>2</v>
      </c>
      <c r="C207" s="160" t="s">
        <v>39</v>
      </c>
      <c r="D207" s="160" t="s">
        <v>40</v>
      </c>
      <c r="E207" s="160" t="s">
        <v>41</v>
      </c>
      <c r="F207" s="160" t="s">
        <v>42</v>
      </c>
      <c r="G207" s="160" t="s">
        <v>43</v>
      </c>
      <c r="H207" s="160" t="s">
        <v>44</v>
      </c>
      <c r="I207" s="160" t="s">
        <v>45</v>
      </c>
      <c r="J207" s="160" t="s">
        <v>46</v>
      </c>
      <c r="K207" s="160" t="s">
        <v>47</v>
      </c>
      <c r="M207" s="160" t="s">
        <v>46</v>
      </c>
      <c r="N207" s="160" t="s">
        <v>47</v>
      </c>
      <c r="O207" s="8" t="s">
        <v>46</v>
      </c>
      <c r="P207" s="161" t="s">
        <v>47</v>
      </c>
      <c r="Q207" s="160" t="s">
        <v>46</v>
      </c>
      <c r="R207" s="161" t="s">
        <v>47</v>
      </c>
      <c r="S207" s="160" t="s">
        <v>46</v>
      </c>
      <c r="T207" s="161" t="s">
        <v>47</v>
      </c>
      <c r="U207" s="160" t="s">
        <v>46</v>
      </c>
      <c r="V207" s="161" t="s">
        <v>47</v>
      </c>
    </row>
    <row r="208">
      <c r="A208" s="162" t="s">
        <v>16</v>
      </c>
      <c r="B208" s="163" t="s">
        <v>17</v>
      </c>
      <c r="C208" s="164">
        <f t="shared" ref="C208:C217" si="43">O3</f>
        <v>934</v>
      </c>
      <c r="D208" s="165">
        <f t="shared" ref="D208:D217" si="44">O44</f>
        <v>224</v>
      </c>
      <c r="E208" s="166">
        <f t="shared" ref="E208:E217" si="45">O85</f>
        <v>393</v>
      </c>
      <c r="F208" s="166">
        <f t="shared" ref="F208:F217" si="46">O126</f>
        <v>314</v>
      </c>
      <c r="G208" s="167" t="str">
        <f t="shared" ref="G208:G217" si="47">O167</f>
        <v/>
      </c>
      <c r="H208" s="168">
        <f t="shared" ref="H208:H217" si="48">MIN(C208:F208)</f>
        <v>224</v>
      </c>
      <c r="I208" s="169">
        <f>sequential!O3</f>
        <v>284</v>
      </c>
      <c r="J208" s="170">
        <f t="shared" ref="J208:J217" si="49">I208/H208</f>
        <v>1.267857143</v>
      </c>
      <c r="K208" s="171">
        <f>J208/8</f>
        <v>0.1584821429</v>
      </c>
      <c r="M208" s="172">
        <f t="shared" ref="M208:M217" si="50">I208/C208</f>
        <v>0.3040685225</v>
      </c>
      <c r="N208" s="173">
        <f t="shared" ref="N208:N217" si="51">M208/4</f>
        <v>0.07601713062</v>
      </c>
      <c r="O208" s="174">
        <f t="shared" ref="O208:O217" si="52">I208/D208</f>
        <v>1.267857143</v>
      </c>
      <c r="P208" s="173">
        <f t="shared" ref="P208:P217" si="53">O208/8</f>
        <v>0.1584821429</v>
      </c>
      <c r="Q208" s="175">
        <f t="shared" ref="Q208:Q217" si="54">I208/E208</f>
        <v>0.7226463104</v>
      </c>
      <c r="R208" s="173">
        <f t="shared" ref="R208:R217" si="55">Q208/16</f>
        <v>0.0451653944</v>
      </c>
      <c r="S208" s="175">
        <f t="shared" ref="S208:S217" si="56">I208/F208</f>
        <v>0.9044585987</v>
      </c>
      <c r="T208" s="173">
        <f t="shared" ref="T208:T217" si="57">S208/32</f>
        <v>0.02826433121</v>
      </c>
      <c r="U208" s="175" t="str">
        <f t="shared" ref="U208:U217" si="58">I208/G208</f>
        <v>#DIV/0!</v>
      </c>
      <c r="V208" s="176" t="str">
        <f t="shared" ref="V208:V217" si="59">U208/64</f>
        <v>#DIV/0!</v>
      </c>
    </row>
    <row r="209">
      <c r="A209" s="32"/>
      <c r="B209" s="177" t="s">
        <v>18</v>
      </c>
      <c r="C209" s="178">
        <f t="shared" si="43"/>
        <v>961.9867</v>
      </c>
      <c r="D209" s="179">
        <f t="shared" si="44"/>
        <v>408.6041</v>
      </c>
      <c r="E209" s="180">
        <f t="shared" si="45"/>
        <v>397.0365</v>
      </c>
      <c r="F209" s="180">
        <f t="shared" si="46"/>
        <v>315.0863</v>
      </c>
      <c r="G209" s="181" t="str">
        <f t="shared" si="47"/>
        <v/>
      </c>
      <c r="H209" s="168">
        <f t="shared" si="48"/>
        <v>315.0863</v>
      </c>
      <c r="I209" s="168">
        <f>sequential!O4</f>
        <v>282.7915</v>
      </c>
      <c r="J209" s="182">
        <f t="shared" si="49"/>
        <v>0.8975049058</v>
      </c>
      <c r="K209" s="183">
        <f>J209/32</f>
        <v>0.02804702831</v>
      </c>
      <c r="M209" s="184">
        <f t="shared" si="50"/>
        <v>0.2939661224</v>
      </c>
      <c r="N209" s="45">
        <f t="shared" si="51"/>
        <v>0.0734915306</v>
      </c>
      <c r="O209" s="185">
        <f t="shared" si="52"/>
        <v>0.6920916848</v>
      </c>
      <c r="P209" s="45">
        <f t="shared" si="53"/>
        <v>0.0865114606</v>
      </c>
      <c r="Q209" s="186">
        <f t="shared" si="54"/>
        <v>0.7122556742</v>
      </c>
      <c r="R209" s="45">
        <f t="shared" si="55"/>
        <v>0.04451597964</v>
      </c>
      <c r="S209" s="186">
        <f t="shared" si="56"/>
        <v>0.8975049058</v>
      </c>
      <c r="T209" s="45">
        <f t="shared" si="57"/>
        <v>0.02804702831</v>
      </c>
      <c r="U209" s="186" t="str">
        <f t="shared" si="58"/>
        <v>#DIV/0!</v>
      </c>
      <c r="V209" s="187" t="str">
        <f t="shared" si="59"/>
        <v>#DIV/0!</v>
      </c>
    </row>
    <row r="210">
      <c r="A210" s="25" t="s">
        <v>19</v>
      </c>
      <c r="B210" s="5" t="s">
        <v>17</v>
      </c>
      <c r="C210" s="29">
        <f t="shared" si="43"/>
        <v>1384</v>
      </c>
      <c r="D210" s="188">
        <f t="shared" si="44"/>
        <v>425</v>
      </c>
      <c r="E210" s="30">
        <f t="shared" si="45"/>
        <v>530</v>
      </c>
      <c r="F210" s="30">
        <f t="shared" si="46"/>
        <v>461</v>
      </c>
      <c r="G210" s="189" t="str">
        <f t="shared" si="47"/>
        <v/>
      </c>
      <c r="H210" s="190">
        <f t="shared" si="48"/>
        <v>425</v>
      </c>
      <c r="I210" s="190">
        <f>sequential!O5</f>
        <v>826</v>
      </c>
      <c r="J210" s="191">
        <f t="shared" si="49"/>
        <v>1.943529412</v>
      </c>
      <c r="K210" s="192">
        <f>J210/8</f>
        <v>0.2429411765</v>
      </c>
      <c r="M210" s="184">
        <f t="shared" si="50"/>
        <v>0.5968208092</v>
      </c>
      <c r="N210" s="45">
        <f t="shared" si="51"/>
        <v>0.1492052023</v>
      </c>
      <c r="O210" s="185">
        <f t="shared" si="52"/>
        <v>1.943529412</v>
      </c>
      <c r="P210" s="45">
        <f t="shared" si="53"/>
        <v>0.2429411765</v>
      </c>
      <c r="Q210" s="186">
        <f t="shared" si="54"/>
        <v>1.558490566</v>
      </c>
      <c r="R210" s="45">
        <f t="shared" si="55"/>
        <v>0.09740566038</v>
      </c>
      <c r="S210" s="186">
        <f t="shared" si="56"/>
        <v>1.79175705</v>
      </c>
      <c r="T210" s="45">
        <f t="shared" si="57"/>
        <v>0.05599240781</v>
      </c>
      <c r="U210" s="186" t="str">
        <f t="shared" si="58"/>
        <v>#DIV/0!</v>
      </c>
      <c r="V210" s="187" t="str">
        <f t="shared" si="59"/>
        <v>#DIV/0!</v>
      </c>
    </row>
    <row r="211">
      <c r="A211" s="32"/>
      <c r="B211" s="62" t="s">
        <v>18</v>
      </c>
      <c r="C211" s="29">
        <f t="shared" si="43"/>
        <v>1394.634</v>
      </c>
      <c r="D211" s="188">
        <f t="shared" si="44"/>
        <v>661.6873</v>
      </c>
      <c r="E211" s="30">
        <f t="shared" si="45"/>
        <v>527.1769</v>
      </c>
      <c r="F211" s="30">
        <f t="shared" si="46"/>
        <v>457.4838</v>
      </c>
      <c r="G211" s="189" t="str">
        <f t="shared" si="47"/>
        <v/>
      </c>
      <c r="H211" s="190">
        <f t="shared" si="48"/>
        <v>457.4838</v>
      </c>
      <c r="I211" s="190">
        <f>sequential!O6</f>
        <v>827.5504</v>
      </c>
      <c r="J211" s="191">
        <f t="shared" si="49"/>
        <v>1.808917387</v>
      </c>
      <c r="K211" s="192">
        <f>J211/32</f>
        <v>0.05652866834</v>
      </c>
      <c r="M211" s="184">
        <f t="shared" si="50"/>
        <v>0.5933817762</v>
      </c>
      <c r="N211" s="45">
        <f t="shared" si="51"/>
        <v>0.148345444</v>
      </c>
      <c r="O211" s="185">
        <f t="shared" si="52"/>
        <v>1.250666894</v>
      </c>
      <c r="P211" s="45">
        <f t="shared" si="53"/>
        <v>0.1563333617</v>
      </c>
      <c r="Q211" s="186">
        <f t="shared" si="54"/>
        <v>1.569777431</v>
      </c>
      <c r="R211" s="45">
        <f t="shared" si="55"/>
        <v>0.09811108947</v>
      </c>
      <c r="S211" s="186">
        <f t="shared" si="56"/>
        <v>1.808917387</v>
      </c>
      <c r="T211" s="45">
        <f t="shared" si="57"/>
        <v>0.05652866834</v>
      </c>
      <c r="U211" s="186" t="str">
        <f t="shared" si="58"/>
        <v>#DIV/0!</v>
      </c>
      <c r="V211" s="187" t="str">
        <f t="shared" si="59"/>
        <v>#DIV/0!</v>
      </c>
    </row>
    <row r="212">
      <c r="A212" s="162" t="s">
        <v>20</v>
      </c>
      <c r="B212" s="163" t="s">
        <v>17</v>
      </c>
      <c r="C212" s="178">
        <f t="shared" si="43"/>
        <v>2239</v>
      </c>
      <c r="D212" s="179">
        <f t="shared" si="44"/>
        <v>776</v>
      </c>
      <c r="E212" s="180">
        <f t="shared" si="45"/>
        <v>1258</v>
      </c>
      <c r="F212" s="180">
        <f t="shared" si="46"/>
        <v>1416</v>
      </c>
      <c r="G212" s="181" t="str">
        <f t="shared" si="47"/>
        <v/>
      </c>
      <c r="H212" s="168">
        <f t="shared" si="48"/>
        <v>776</v>
      </c>
      <c r="I212" s="168">
        <f>sequential!O7</f>
        <v>1162</v>
      </c>
      <c r="J212" s="182">
        <f t="shared" si="49"/>
        <v>1.49742268</v>
      </c>
      <c r="K212" s="183">
        <f t="shared" ref="K212:K217" si="60">J212/8</f>
        <v>0.1871778351</v>
      </c>
      <c r="M212" s="184">
        <f t="shared" si="50"/>
        <v>0.5189816883</v>
      </c>
      <c r="N212" s="45">
        <f t="shared" si="51"/>
        <v>0.1297454221</v>
      </c>
      <c r="O212" s="185">
        <f t="shared" si="52"/>
        <v>1.49742268</v>
      </c>
      <c r="P212" s="45">
        <f t="shared" si="53"/>
        <v>0.1871778351</v>
      </c>
      <c r="Q212" s="186">
        <f t="shared" si="54"/>
        <v>0.9236883943</v>
      </c>
      <c r="R212" s="45">
        <f t="shared" si="55"/>
        <v>0.05773052464</v>
      </c>
      <c r="S212" s="186">
        <f t="shared" si="56"/>
        <v>0.8206214689</v>
      </c>
      <c r="T212" s="45">
        <f t="shared" si="57"/>
        <v>0.0256444209</v>
      </c>
      <c r="U212" s="186" t="str">
        <f t="shared" si="58"/>
        <v>#DIV/0!</v>
      </c>
      <c r="V212" s="187" t="str">
        <f t="shared" si="59"/>
        <v>#DIV/0!</v>
      </c>
    </row>
    <row r="213">
      <c r="A213" s="32"/>
      <c r="B213" s="193" t="s">
        <v>18</v>
      </c>
      <c r="C213" s="178">
        <f t="shared" si="43"/>
        <v>2257.886</v>
      </c>
      <c r="D213" s="179">
        <f t="shared" si="44"/>
        <v>990.0816</v>
      </c>
      <c r="E213" s="180">
        <f t="shared" si="45"/>
        <v>1252.942</v>
      </c>
      <c r="F213" s="180">
        <f t="shared" si="46"/>
        <v>1407.749</v>
      </c>
      <c r="G213" s="181" t="str">
        <f t="shared" si="47"/>
        <v/>
      </c>
      <c r="H213" s="168">
        <f t="shared" si="48"/>
        <v>990.0816</v>
      </c>
      <c r="I213" s="168">
        <f>sequential!O8</f>
        <v>1174.137</v>
      </c>
      <c r="J213" s="182">
        <f t="shared" si="49"/>
        <v>1.185899223</v>
      </c>
      <c r="K213" s="183">
        <f t="shared" si="60"/>
        <v>0.1482374029</v>
      </c>
      <c r="M213" s="184">
        <f t="shared" si="50"/>
        <v>0.5200160681</v>
      </c>
      <c r="N213" s="45">
        <f t="shared" si="51"/>
        <v>0.130004017</v>
      </c>
      <c r="O213" s="185">
        <f t="shared" si="52"/>
        <v>1.185899223</v>
      </c>
      <c r="P213" s="45">
        <f t="shared" si="53"/>
        <v>0.1482374029</v>
      </c>
      <c r="Q213" s="186">
        <f t="shared" si="54"/>
        <v>0.937104032</v>
      </c>
      <c r="R213" s="45">
        <f t="shared" si="55"/>
        <v>0.058569002</v>
      </c>
      <c r="S213" s="186">
        <f t="shared" si="56"/>
        <v>0.8340528034</v>
      </c>
      <c r="T213" s="45">
        <f t="shared" si="57"/>
        <v>0.02606415011</v>
      </c>
      <c r="U213" s="186" t="str">
        <f t="shared" si="58"/>
        <v>#DIV/0!</v>
      </c>
      <c r="V213" s="187" t="str">
        <f t="shared" si="59"/>
        <v>#DIV/0!</v>
      </c>
    </row>
    <row r="214">
      <c r="A214" s="25" t="s">
        <v>21</v>
      </c>
      <c r="B214" s="5" t="s">
        <v>17</v>
      </c>
      <c r="C214" s="29">
        <f t="shared" si="43"/>
        <v>3568</v>
      </c>
      <c r="D214" s="188">
        <f t="shared" si="44"/>
        <v>1746</v>
      </c>
      <c r="E214" s="30">
        <f t="shared" si="45"/>
        <v>2726</v>
      </c>
      <c r="F214" s="30">
        <f t="shared" si="46"/>
        <v>2883</v>
      </c>
      <c r="G214" s="189" t="str">
        <f t="shared" si="47"/>
        <v/>
      </c>
      <c r="H214" s="190">
        <f t="shared" si="48"/>
        <v>1746</v>
      </c>
      <c r="I214" s="190">
        <f>sequential!O9</f>
        <v>2400</v>
      </c>
      <c r="J214" s="191">
        <f t="shared" si="49"/>
        <v>1.374570447</v>
      </c>
      <c r="K214" s="192">
        <f t="shared" si="60"/>
        <v>0.1718213058</v>
      </c>
      <c r="M214" s="184">
        <f t="shared" si="50"/>
        <v>0.6726457399</v>
      </c>
      <c r="N214" s="45">
        <f t="shared" si="51"/>
        <v>0.168161435</v>
      </c>
      <c r="O214" s="185">
        <f t="shared" si="52"/>
        <v>1.374570447</v>
      </c>
      <c r="P214" s="45">
        <f t="shared" si="53"/>
        <v>0.1718213058</v>
      </c>
      <c r="Q214" s="186">
        <f t="shared" si="54"/>
        <v>0.8804108584</v>
      </c>
      <c r="R214" s="45">
        <f t="shared" si="55"/>
        <v>0.05502567865</v>
      </c>
      <c r="S214" s="186">
        <f t="shared" si="56"/>
        <v>0.8324661811</v>
      </c>
      <c r="T214" s="45">
        <f t="shared" si="57"/>
        <v>0.02601456816</v>
      </c>
      <c r="U214" s="186" t="str">
        <f t="shared" si="58"/>
        <v>#DIV/0!</v>
      </c>
      <c r="V214" s="187" t="str">
        <f t="shared" si="59"/>
        <v>#DIV/0!</v>
      </c>
    </row>
    <row r="215">
      <c r="A215" s="32"/>
      <c r="B215" s="62" t="s">
        <v>18</v>
      </c>
      <c r="C215" s="29">
        <f t="shared" si="43"/>
        <v>4501.539</v>
      </c>
      <c r="D215" s="188">
        <f t="shared" si="44"/>
        <v>2412.371</v>
      </c>
      <c r="E215" s="30">
        <f t="shared" si="45"/>
        <v>2722.144</v>
      </c>
      <c r="F215" s="30">
        <f t="shared" si="46"/>
        <v>2893.431</v>
      </c>
      <c r="G215" s="189" t="str">
        <f t="shared" si="47"/>
        <v/>
      </c>
      <c r="H215" s="190">
        <f t="shared" si="48"/>
        <v>2412.371</v>
      </c>
      <c r="I215" s="190">
        <f>sequential!O10</f>
        <v>2400.128</v>
      </c>
      <c r="J215" s="191">
        <f t="shared" si="49"/>
        <v>0.99492491</v>
      </c>
      <c r="K215" s="192">
        <f t="shared" si="60"/>
        <v>0.1243656137</v>
      </c>
      <c r="M215" s="184">
        <f t="shared" si="50"/>
        <v>0.5331794304</v>
      </c>
      <c r="N215" s="45">
        <f t="shared" si="51"/>
        <v>0.1332948576</v>
      </c>
      <c r="O215" s="185">
        <f t="shared" si="52"/>
        <v>0.99492491</v>
      </c>
      <c r="P215" s="45">
        <f t="shared" si="53"/>
        <v>0.1243656137</v>
      </c>
      <c r="Q215" s="186">
        <f t="shared" si="54"/>
        <v>0.881705009</v>
      </c>
      <c r="R215" s="45">
        <f t="shared" si="55"/>
        <v>0.05510656306</v>
      </c>
      <c r="S215" s="186">
        <f t="shared" si="56"/>
        <v>0.8295093265</v>
      </c>
      <c r="T215" s="45">
        <f t="shared" si="57"/>
        <v>0.02592216645</v>
      </c>
      <c r="U215" s="186" t="str">
        <f t="shared" si="58"/>
        <v>#DIV/0!</v>
      </c>
      <c r="V215" s="187" t="str">
        <f t="shared" si="59"/>
        <v>#DIV/0!</v>
      </c>
    </row>
    <row r="216">
      <c r="A216" s="162" t="s">
        <v>22</v>
      </c>
      <c r="B216" s="163" t="s">
        <v>17</v>
      </c>
      <c r="C216" s="178">
        <f t="shared" si="43"/>
        <v>8171</v>
      </c>
      <c r="D216" s="179">
        <f t="shared" si="44"/>
        <v>3088</v>
      </c>
      <c r="E216" s="180">
        <f t="shared" si="45"/>
        <v>3974</v>
      </c>
      <c r="F216" s="180">
        <f t="shared" si="46"/>
        <v>7241</v>
      </c>
      <c r="G216" s="181" t="str">
        <f t="shared" si="47"/>
        <v/>
      </c>
      <c r="H216" s="168">
        <f t="shared" si="48"/>
        <v>3088</v>
      </c>
      <c r="I216" s="168">
        <f>sequential!O11</f>
        <v>3735</v>
      </c>
      <c r="J216" s="182">
        <f t="shared" si="49"/>
        <v>1.209520725</v>
      </c>
      <c r="K216" s="183">
        <f t="shared" si="60"/>
        <v>0.1511900907</v>
      </c>
      <c r="M216" s="184">
        <f t="shared" si="50"/>
        <v>0.4571043936</v>
      </c>
      <c r="N216" s="45">
        <f t="shared" si="51"/>
        <v>0.1142760984</v>
      </c>
      <c r="O216" s="185">
        <f t="shared" si="52"/>
        <v>1.209520725</v>
      </c>
      <c r="P216" s="45">
        <f t="shared" si="53"/>
        <v>0.1511900907</v>
      </c>
      <c r="Q216" s="186">
        <f t="shared" si="54"/>
        <v>0.939859084</v>
      </c>
      <c r="R216" s="45">
        <f t="shared" si="55"/>
        <v>0.05874119275</v>
      </c>
      <c r="S216" s="186">
        <f t="shared" si="56"/>
        <v>0.515812733</v>
      </c>
      <c r="T216" s="45">
        <f t="shared" si="57"/>
        <v>0.01611914791</v>
      </c>
      <c r="U216" s="186" t="str">
        <f t="shared" si="58"/>
        <v>#DIV/0!</v>
      </c>
      <c r="V216" s="187" t="str">
        <f t="shared" si="59"/>
        <v>#DIV/0!</v>
      </c>
    </row>
    <row r="217">
      <c r="A217" s="32"/>
      <c r="B217" s="194" t="s">
        <v>18</v>
      </c>
      <c r="C217" s="195">
        <f t="shared" si="43"/>
        <v>8704.523</v>
      </c>
      <c r="D217" s="196">
        <f t="shared" si="44"/>
        <v>4551.069</v>
      </c>
      <c r="E217" s="197">
        <f t="shared" si="45"/>
        <v>3972.927</v>
      </c>
      <c r="F217" s="197">
        <f t="shared" si="46"/>
        <v>7259.25</v>
      </c>
      <c r="G217" s="198" t="str">
        <f t="shared" si="47"/>
        <v/>
      </c>
      <c r="H217" s="199">
        <f t="shared" si="48"/>
        <v>3972.927</v>
      </c>
      <c r="I217" s="199">
        <f>sequential!O12</f>
        <v>3743.021</v>
      </c>
      <c r="J217" s="200">
        <f t="shared" si="49"/>
        <v>0.9421318338</v>
      </c>
      <c r="K217" s="201">
        <f t="shared" si="60"/>
        <v>0.1177664792</v>
      </c>
      <c r="M217" s="202">
        <f t="shared" si="50"/>
        <v>0.4300087437</v>
      </c>
      <c r="N217" s="203">
        <f t="shared" si="51"/>
        <v>0.1075021859</v>
      </c>
      <c r="O217" s="204">
        <f t="shared" si="52"/>
        <v>0.8224487478</v>
      </c>
      <c r="P217" s="203">
        <f t="shared" si="53"/>
        <v>0.1028060935</v>
      </c>
      <c r="Q217" s="205">
        <f t="shared" si="54"/>
        <v>0.9421318338</v>
      </c>
      <c r="R217" s="203">
        <f t="shared" si="55"/>
        <v>0.05888323961</v>
      </c>
      <c r="S217" s="205">
        <f t="shared" si="56"/>
        <v>0.5156208975</v>
      </c>
      <c r="T217" s="203">
        <f t="shared" si="57"/>
        <v>0.01611315305</v>
      </c>
      <c r="U217" s="205" t="str">
        <f t="shared" si="58"/>
        <v>#DIV/0!</v>
      </c>
      <c r="V217" s="206" t="str">
        <f t="shared" si="59"/>
        <v>#DIV/0!</v>
      </c>
    </row>
    <row r="218">
      <c r="O218" s="41"/>
      <c r="P218" s="45"/>
      <c r="R218" s="45"/>
      <c r="T218" s="45"/>
      <c r="V218" s="45"/>
    </row>
    <row r="219">
      <c r="A219" s="1" t="s">
        <v>48</v>
      </c>
      <c r="B219" s="2"/>
      <c r="C219" s="2"/>
      <c r="D219" s="2"/>
      <c r="E219" s="2"/>
      <c r="F219" s="2"/>
      <c r="G219" s="2"/>
      <c r="H219" s="2"/>
      <c r="I219" s="2"/>
      <c r="J219" s="2"/>
      <c r="K219" s="3"/>
      <c r="M219" s="1" t="s">
        <v>39</v>
      </c>
      <c r="N219" s="3"/>
      <c r="O219" s="159" t="s">
        <v>40</v>
      </c>
      <c r="P219" s="3"/>
      <c r="Q219" s="1" t="s">
        <v>41</v>
      </c>
      <c r="R219" s="3"/>
      <c r="S219" s="1" t="s">
        <v>42</v>
      </c>
      <c r="T219" s="3"/>
      <c r="U219" s="1" t="s">
        <v>43</v>
      </c>
      <c r="V219" s="3"/>
    </row>
    <row r="220">
      <c r="A220" s="4" t="s">
        <v>1</v>
      </c>
      <c r="B220" s="4" t="s">
        <v>2</v>
      </c>
      <c r="C220" s="160" t="s">
        <v>39</v>
      </c>
      <c r="D220" s="7" t="s">
        <v>40</v>
      </c>
      <c r="E220" s="7" t="s">
        <v>41</v>
      </c>
      <c r="F220" s="7" t="s">
        <v>42</v>
      </c>
      <c r="G220" s="7" t="s">
        <v>43</v>
      </c>
      <c r="H220" s="160" t="s">
        <v>44</v>
      </c>
      <c r="I220" s="160" t="s">
        <v>45</v>
      </c>
      <c r="J220" s="160" t="s">
        <v>46</v>
      </c>
      <c r="K220" s="160" t="s">
        <v>47</v>
      </c>
      <c r="M220" s="160" t="s">
        <v>46</v>
      </c>
      <c r="N220" s="160" t="s">
        <v>47</v>
      </c>
      <c r="O220" s="8" t="s">
        <v>46</v>
      </c>
      <c r="P220" s="161" t="s">
        <v>47</v>
      </c>
      <c r="Q220" s="160" t="s">
        <v>46</v>
      </c>
      <c r="R220" s="161" t="s">
        <v>47</v>
      </c>
      <c r="S220" s="160" t="s">
        <v>46</v>
      </c>
      <c r="T220" s="161" t="s">
        <v>47</v>
      </c>
      <c r="U220" s="160" t="s">
        <v>46</v>
      </c>
      <c r="V220" s="161" t="s">
        <v>47</v>
      </c>
    </row>
    <row r="221">
      <c r="A221" s="162" t="s">
        <v>16</v>
      </c>
      <c r="B221" s="207" t="s">
        <v>17</v>
      </c>
      <c r="C221" s="178">
        <f t="shared" ref="C221:C230" si="61">O16</f>
        <v>522</v>
      </c>
      <c r="D221" s="166">
        <f t="shared" ref="D221:D230" si="62">O57</f>
        <v>433</v>
      </c>
      <c r="E221" s="166">
        <f t="shared" ref="E221:E230" si="63">O98</f>
        <v>162</v>
      </c>
      <c r="F221" s="166">
        <f t="shared" ref="F221:F230" si="64">O139</f>
        <v>464</v>
      </c>
      <c r="G221" s="208">
        <f t="shared" ref="G221:G230" si="65">O180</f>
        <v>131</v>
      </c>
      <c r="H221" s="168">
        <f t="shared" ref="H221:H230" si="66">MIN(C221:G221)</f>
        <v>131</v>
      </c>
      <c r="I221" s="168">
        <f>sequential!O3</f>
        <v>284</v>
      </c>
      <c r="J221" s="209">
        <f t="shared" ref="J221:J230" si="67">I221/H221</f>
        <v>2.167938931</v>
      </c>
      <c r="K221" s="171">
        <f t="shared" ref="K221:K228" si="68">J221/64</f>
        <v>0.0338740458</v>
      </c>
      <c r="M221" s="172">
        <f t="shared" ref="M221:M230" si="69">I221/C221</f>
        <v>0.5440613027</v>
      </c>
      <c r="N221" s="173">
        <f t="shared" ref="N221:N230" si="70">M221/4</f>
        <v>0.1360153257</v>
      </c>
      <c r="O221" s="174">
        <f t="shared" ref="O221:O230" si="71">I221/D221</f>
        <v>0.6558891455</v>
      </c>
      <c r="P221" s="173">
        <f t="shared" ref="P221:P230" si="72">O221/8</f>
        <v>0.08198614319</v>
      </c>
      <c r="Q221" s="175">
        <f t="shared" ref="Q221:Q230" si="73">I221/E221</f>
        <v>1.75308642</v>
      </c>
      <c r="R221" s="173">
        <f t="shared" ref="R221:R230" si="74">Q221/16</f>
        <v>0.1095679012</v>
      </c>
      <c r="S221" s="175">
        <f t="shared" ref="S221:S230" si="75">I221/F221</f>
        <v>0.6120689655</v>
      </c>
      <c r="T221" s="173">
        <f t="shared" ref="T221:T230" si="76">S221/32</f>
        <v>0.01912715517</v>
      </c>
      <c r="U221" s="175">
        <f t="shared" ref="U221:U230" si="77">I221/G221</f>
        <v>2.167938931</v>
      </c>
      <c r="V221" s="176">
        <f t="shared" ref="V221:V230" si="78">U221/64</f>
        <v>0.0338740458</v>
      </c>
    </row>
    <row r="222">
      <c r="A222" s="32"/>
      <c r="B222" s="210" t="s">
        <v>18</v>
      </c>
      <c r="C222" s="178">
        <f t="shared" si="61"/>
        <v>528.904</v>
      </c>
      <c r="D222" s="180">
        <f t="shared" si="62"/>
        <v>482.3923</v>
      </c>
      <c r="E222" s="180">
        <f t="shared" si="63"/>
        <v>156.2758</v>
      </c>
      <c r="F222" s="180">
        <f t="shared" si="64"/>
        <v>474.6195</v>
      </c>
      <c r="G222" s="211">
        <f t="shared" si="65"/>
        <v>124.4472</v>
      </c>
      <c r="H222" s="168">
        <f t="shared" si="66"/>
        <v>124.4472</v>
      </c>
      <c r="I222" s="168">
        <f>sequential!O4</f>
        <v>282.7915</v>
      </c>
      <c r="J222" s="212">
        <f t="shared" si="67"/>
        <v>2.272381379</v>
      </c>
      <c r="K222" s="183">
        <f t="shared" si="68"/>
        <v>0.03550595905</v>
      </c>
      <c r="M222" s="184">
        <f t="shared" si="69"/>
        <v>0.5346745345</v>
      </c>
      <c r="N222" s="45">
        <f t="shared" si="70"/>
        <v>0.1336686336</v>
      </c>
      <c r="O222" s="185">
        <f t="shared" si="71"/>
        <v>0.5862272263</v>
      </c>
      <c r="P222" s="45">
        <f t="shared" si="72"/>
        <v>0.07327840328</v>
      </c>
      <c r="Q222" s="186">
        <f t="shared" si="73"/>
        <v>1.809566804</v>
      </c>
      <c r="R222" s="45">
        <f t="shared" si="74"/>
        <v>0.1130979253</v>
      </c>
      <c r="S222" s="186">
        <f t="shared" si="75"/>
        <v>0.5958278158</v>
      </c>
      <c r="T222" s="45">
        <f t="shared" si="76"/>
        <v>0.01861961924</v>
      </c>
      <c r="U222" s="186">
        <f t="shared" si="77"/>
        <v>2.272381379</v>
      </c>
      <c r="V222" s="187">
        <f t="shared" si="78"/>
        <v>0.03550595905</v>
      </c>
    </row>
    <row r="223">
      <c r="A223" s="25" t="s">
        <v>19</v>
      </c>
      <c r="B223" s="213" t="s">
        <v>17</v>
      </c>
      <c r="C223" s="29">
        <f t="shared" si="61"/>
        <v>695</v>
      </c>
      <c r="D223" s="30">
        <f t="shared" si="62"/>
        <v>1362</v>
      </c>
      <c r="E223" s="30">
        <f t="shared" si="63"/>
        <v>261</v>
      </c>
      <c r="F223" s="30">
        <f t="shared" si="64"/>
        <v>1017</v>
      </c>
      <c r="G223" s="214">
        <f t="shared" si="65"/>
        <v>240</v>
      </c>
      <c r="H223" s="190">
        <f t="shared" si="66"/>
        <v>240</v>
      </c>
      <c r="I223" s="190">
        <f>sequential!O5</f>
        <v>826</v>
      </c>
      <c r="J223" s="215">
        <f t="shared" si="67"/>
        <v>3.441666667</v>
      </c>
      <c r="K223" s="192">
        <f t="shared" si="68"/>
        <v>0.05377604167</v>
      </c>
      <c r="M223" s="184">
        <f t="shared" si="69"/>
        <v>1.188489209</v>
      </c>
      <c r="N223" s="45">
        <f t="shared" si="70"/>
        <v>0.2971223022</v>
      </c>
      <c r="O223" s="185">
        <f t="shared" si="71"/>
        <v>0.6064610866</v>
      </c>
      <c r="P223" s="45">
        <f t="shared" si="72"/>
        <v>0.07580763583</v>
      </c>
      <c r="Q223" s="186">
        <f t="shared" si="73"/>
        <v>3.164750958</v>
      </c>
      <c r="R223" s="45">
        <f t="shared" si="74"/>
        <v>0.1977969349</v>
      </c>
      <c r="S223" s="186">
        <f t="shared" si="75"/>
        <v>0.8121927237</v>
      </c>
      <c r="T223" s="45">
        <f t="shared" si="76"/>
        <v>0.02538102262</v>
      </c>
      <c r="U223" s="186">
        <f t="shared" si="77"/>
        <v>3.441666667</v>
      </c>
      <c r="V223" s="187">
        <f t="shared" si="78"/>
        <v>0.05377604167</v>
      </c>
    </row>
    <row r="224">
      <c r="A224" s="32"/>
      <c r="B224" s="216" t="s">
        <v>18</v>
      </c>
      <c r="C224" s="29">
        <f t="shared" si="61"/>
        <v>698.2489</v>
      </c>
      <c r="D224" s="30">
        <f t="shared" si="62"/>
        <v>1390.322</v>
      </c>
      <c r="E224" s="30">
        <f t="shared" si="63"/>
        <v>259.6072</v>
      </c>
      <c r="F224" s="30">
        <f t="shared" si="64"/>
        <v>1017.838</v>
      </c>
      <c r="G224" s="214">
        <f t="shared" si="65"/>
        <v>235.9917</v>
      </c>
      <c r="H224" s="190">
        <f t="shared" si="66"/>
        <v>235.9917</v>
      </c>
      <c r="I224" s="190">
        <f>sequential!O6</f>
        <v>827.5504</v>
      </c>
      <c r="J224" s="215">
        <f t="shared" si="67"/>
        <v>3.50669282</v>
      </c>
      <c r="K224" s="192">
        <f t="shared" si="68"/>
        <v>0.05479207531</v>
      </c>
      <c r="M224" s="184">
        <f t="shared" si="69"/>
        <v>1.185179669</v>
      </c>
      <c r="N224" s="45">
        <f t="shared" si="70"/>
        <v>0.2962949172</v>
      </c>
      <c r="O224" s="185">
        <f t="shared" si="71"/>
        <v>0.595222114</v>
      </c>
      <c r="P224" s="45">
        <f t="shared" si="72"/>
        <v>0.07440276425</v>
      </c>
      <c r="Q224" s="186">
        <f t="shared" si="73"/>
        <v>3.187702036</v>
      </c>
      <c r="R224" s="45">
        <f t="shared" si="74"/>
        <v>0.1992313772</v>
      </c>
      <c r="S224" s="186">
        <f t="shared" si="75"/>
        <v>0.8130472629</v>
      </c>
      <c r="T224" s="45">
        <f t="shared" si="76"/>
        <v>0.02540772697</v>
      </c>
      <c r="U224" s="186">
        <f t="shared" si="77"/>
        <v>3.50669282</v>
      </c>
      <c r="V224" s="187">
        <f t="shared" si="78"/>
        <v>0.05479207531</v>
      </c>
    </row>
    <row r="225">
      <c r="A225" s="162" t="s">
        <v>20</v>
      </c>
      <c r="B225" s="207" t="s">
        <v>17</v>
      </c>
      <c r="C225" s="178">
        <f t="shared" si="61"/>
        <v>1810</v>
      </c>
      <c r="D225" s="180">
        <f t="shared" si="62"/>
        <v>3311</v>
      </c>
      <c r="E225" s="180">
        <f t="shared" si="63"/>
        <v>672</v>
      </c>
      <c r="F225" s="180">
        <f t="shared" si="64"/>
        <v>1650</v>
      </c>
      <c r="G225" s="211">
        <f t="shared" si="65"/>
        <v>450</v>
      </c>
      <c r="H225" s="168">
        <f t="shared" si="66"/>
        <v>450</v>
      </c>
      <c r="I225" s="168">
        <f>sequential!O7</f>
        <v>1162</v>
      </c>
      <c r="J225" s="212">
        <f t="shared" si="67"/>
        <v>2.582222222</v>
      </c>
      <c r="K225" s="183">
        <f t="shared" si="68"/>
        <v>0.04034722222</v>
      </c>
      <c r="M225" s="184">
        <f t="shared" si="69"/>
        <v>0.6419889503</v>
      </c>
      <c r="N225" s="45">
        <f t="shared" si="70"/>
        <v>0.1604972376</v>
      </c>
      <c r="O225" s="185">
        <f t="shared" si="71"/>
        <v>0.3509513742</v>
      </c>
      <c r="P225" s="45">
        <f t="shared" si="72"/>
        <v>0.04386892178</v>
      </c>
      <c r="Q225" s="186">
        <f t="shared" si="73"/>
        <v>1.729166667</v>
      </c>
      <c r="R225" s="45">
        <f t="shared" si="74"/>
        <v>0.1080729167</v>
      </c>
      <c r="S225" s="186">
        <f t="shared" si="75"/>
        <v>0.7042424242</v>
      </c>
      <c r="T225" s="45">
        <f t="shared" si="76"/>
        <v>0.02200757576</v>
      </c>
      <c r="U225" s="186">
        <f t="shared" si="77"/>
        <v>2.582222222</v>
      </c>
      <c r="V225" s="187">
        <f t="shared" si="78"/>
        <v>0.04034722222</v>
      </c>
    </row>
    <row r="226">
      <c r="A226" s="32"/>
      <c r="B226" s="217" t="s">
        <v>18</v>
      </c>
      <c r="C226" s="178">
        <f t="shared" si="61"/>
        <v>1811.779</v>
      </c>
      <c r="D226" s="180">
        <f t="shared" si="62"/>
        <v>3404.687</v>
      </c>
      <c r="E226" s="180">
        <f t="shared" si="63"/>
        <v>677.8944</v>
      </c>
      <c r="F226" s="180">
        <f t="shared" si="64"/>
        <v>1646.342</v>
      </c>
      <c r="G226" s="211">
        <f t="shared" si="65"/>
        <v>441.1603</v>
      </c>
      <c r="H226" s="168">
        <f t="shared" si="66"/>
        <v>441.1603</v>
      </c>
      <c r="I226" s="168">
        <f>sequential!O8</f>
        <v>1174.137</v>
      </c>
      <c r="J226" s="212">
        <f t="shared" si="67"/>
        <v>2.661474752</v>
      </c>
      <c r="K226" s="183">
        <f t="shared" si="68"/>
        <v>0.041585543</v>
      </c>
      <c r="M226" s="184">
        <f t="shared" si="69"/>
        <v>0.6480575169</v>
      </c>
      <c r="N226" s="45">
        <f t="shared" si="70"/>
        <v>0.1620143792</v>
      </c>
      <c r="O226" s="185">
        <f t="shared" si="71"/>
        <v>0.3448590135</v>
      </c>
      <c r="P226" s="45">
        <f t="shared" si="72"/>
        <v>0.04310737668</v>
      </c>
      <c r="Q226" s="186">
        <f t="shared" si="73"/>
        <v>1.732035255</v>
      </c>
      <c r="R226" s="45">
        <f t="shared" si="74"/>
        <v>0.1082522034</v>
      </c>
      <c r="S226" s="186">
        <f t="shared" si="75"/>
        <v>0.7131792787</v>
      </c>
      <c r="T226" s="45">
        <f t="shared" si="76"/>
        <v>0.02228685246</v>
      </c>
      <c r="U226" s="186">
        <f t="shared" si="77"/>
        <v>2.661474752</v>
      </c>
      <c r="V226" s="187">
        <f t="shared" si="78"/>
        <v>0.041585543</v>
      </c>
    </row>
    <row r="227">
      <c r="A227" s="25" t="s">
        <v>21</v>
      </c>
      <c r="B227" s="213" t="s">
        <v>17</v>
      </c>
      <c r="C227" s="29">
        <f t="shared" si="61"/>
        <v>3890</v>
      </c>
      <c r="D227" s="30">
        <f t="shared" si="62"/>
        <v>4937</v>
      </c>
      <c r="E227" s="30">
        <f t="shared" si="63"/>
        <v>1080</v>
      </c>
      <c r="F227" s="30">
        <f t="shared" si="64"/>
        <v>4942</v>
      </c>
      <c r="G227" s="214">
        <f t="shared" si="65"/>
        <v>889</v>
      </c>
      <c r="H227" s="190">
        <f t="shared" si="66"/>
        <v>889</v>
      </c>
      <c r="I227" s="190">
        <f>sequential!O9</f>
        <v>2400</v>
      </c>
      <c r="J227" s="215">
        <f t="shared" si="67"/>
        <v>2.699662542</v>
      </c>
      <c r="K227" s="192">
        <f t="shared" si="68"/>
        <v>0.04218222722</v>
      </c>
      <c r="M227" s="184">
        <f t="shared" si="69"/>
        <v>0.616966581</v>
      </c>
      <c r="N227" s="45">
        <f t="shared" si="70"/>
        <v>0.1542416452</v>
      </c>
      <c r="O227" s="185">
        <f t="shared" si="71"/>
        <v>0.4861251772</v>
      </c>
      <c r="P227" s="45">
        <f t="shared" si="72"/>
        <v>0.06076564715</v>
      </c>
      <c r="Q227" s="186">
        <f t="shared" si="73"/>
        <v>2.222222222</v>
      </c>
      <c r="R227" s="45">
        <f t="shared" si="74"/>
        <v>0.1388888889</v>
      </c>
      <c r="S227" s="186">
        <f t="shared" si="75"/>
        <v>0.4856333468</v>
      </c>
      <c r="T227" s="45">
        <f t="shared" si="76"/>
        <v>0.01517604209</v>
      </c>
      <c r="U227" s="186">
        <f t="shared" si="77"/>
        <v>2.699662542</v>
      </c>
      <c r="V227" s="187">
        <f t="shared" si="78"/>
        <v>0.04218222722</v>
      </c>
    </row>
    <row r="228">
      <c r="A228" s="32"/>
      <c r="B228" s="216" t="s">
        <v>18</v>
      </c>
      <c r="C228" s="29">
        <f t="shared" si="61"/>
        <v>3904.934</v>
      </c>
      <c r="D228" s="30">
        <f t="shared" si="62"/>
        <v>4949.083</v>
      </c>
      <c r="E228" s="30">
        <f t="shared" si="63"/>
        <v>1077.893</v>
      </c>
      <c r="F228" s="30">
        <f t="shared" si="64"/>
        <v>4943.358</v>
      </c>
      <c r="G228" s="214">
        <f t="shared" si="65"/>
        <v>883.2338</v>
      </c>
      <c r="H228" s="190">
        <f t="shared" si="66"/>
        <v>883.2338</v>
      </c>
      <c r="I228" s="190">
        <f>sequential!O10</f>
        <v>2400.128</v>
      </c>
      <c r="J228" s="215">
        <f t="shared" si="67"/>
        <v>2.717432236</v>
      </c>
      <c r="K228" s="192">
        <f t="shared" si="68"/>
        <v>0.04245987869</v>
      </c>
      <c r="M228" s="184">
        <f t="shared" si="69"/>
        <v>0.6146398377</v>
      </c>
      <c r="N228" s="45">
        <f t="shared" si="70"/>
        <v>0.1536599594</v>
      </c>
      <c r="O228" s="185">
        <f t="shared" si="71"/>
        <v>0.4849641843</v>
      </c>
      <c r="P228" s="45">
        <f t="shared" si="72"/>
        <v>0.06062052303</v>
      </c>
      <c r="Q228" s="186">
        <f t="shared" si="73"/>
        <v>2.226684838</v>
      </c>
      <c r="R228" s="45">
        <f t="shared" si="74"/>
        <v>0.1391678024</v>
      </c>
      <c r="S228" s="186">
        <f t="shared" si="75"/>
        <v>0.4855258308</v>
      </c>
      <c r="T228" s="45">
        <f t="shared" si="76"/>
        <v>0.01517268221</v>
      </c>
      <c r="U228" s="186">
        <f t="shared" si="77"/>
        <v>2.717432236</v>
      </c>
      <c r="V228" s="187">
        <f t="shared" si="78"/>
        <v>0.04245987869</v>
      </c>
    </row>
    <row r="229">
      <c r="A229" s="162" t="s">
        <v>22</v>
      </c>
      <c r="B229" s="207" t="s">
        <v>17</v>
      </c>
      <c r="C229" s="178">
        <f t="shared" si="61"/>
        <v>7146</v>
      </c>
      <c r="D229" s="180">
        <f t="shared" si="62"/>
        <v>5170</v>
      </c>
      <c r="E229" s="179">
        <f t="shared" si="63"/>
        <v>2280</v>
      </c>
      <c r="F229" s="180">
        <f t="shared" si="64"/>
        <v>6784</v>
      </c>
      <c r="G229" s="223">
        <f t="shared" si="65"/>
        <v>4803</v>
      </c>
      <c r="H229" s="168">
        <f t="shared" si="66"/>
        <v>2280</v>
      </c>
      <c r="I229" s="168">
        <f>sequential!O11</f>
        <v>3735</v>
      </c>
      <c r="J229" s="212">
        <f t="shared" si="67"/>
        <v>1.638157895</v>
      </c>
      <c r="K229" s="183">
        <f t="shared" ref="K229:K230" si="79">J229/16</f>
        <v>0.1023848684</v>
      </c>
      <c r="M229" s="184">
        <f t="shared" si="69"/>
        <v>0.5226700252</v>
      </c>
      <c r="N229" s="45">
        <f t="shared" si="70"/>
        <v>0.1306675063</v>
      </c>
      <c r="O229" s="185">
        <f t="shared" si="71"/>
        <v>0.7224371373</v>
      </c>
      <c r="P229" s="45">
        <f t="shared" si="72"/>
        <v>0.09030464217</v>
      </c>
      <c r="Q229" s="186">
        <f t="shared" si="73"/>
        <v>1.638157895</v>
      </c>
      <c r="R229" s="45">
        <f t="shared" si="74"/>
        <v>0.1023848684</v>
      </c>
      <c r="S229" s="186">
        <f t="shared" si="75"/>
        <v>0.5505601415</v>
      </c>
      <c r="T229" s="45">
        <f t="shared" si="76"/>
        <v>0.01720500442</v>
      </c>
      <c r="U229" s="186">
        <f t="shared" si="77"/>
        <v>0.7776389756</v>
      </c>
      <c r="V229" s="187">
        <f t="shared" si="78"/>
        <v>0.01215060899</v>
      </c>
    </row>
    <row r="230">
      <c r="A230" s="32"/>
      <c r="B230" s="219" t="s">
        <v>18</v>
      </c>
      <c r="C230" s="195">
        <f t="shared" si="61"/>
        <v>7153.632</v>
      </c>
      <c r="D230" s="197">
        <f t="shared" si="62"/>
        <v>5170.879</v>
      </c>
      <c r="E230" s="196">
        <f t="shared" si="63"/>
        <v>2280.23</v>
      </c>
      <c r="F230" s="197">
        <f t="shared" si="64"/>
        <v>6803.756</v>
      </c>
      <c r="G230" s="225">
        <f t="shared" si="65"/>
        <v>4818.509</v>
      </c>
      <c r="H230" s="199">
        <f t="shared" si="66"/>
        <v>2280.23</v>
      </c>
      <c r="I230" s="199">
        <f>sequential!O12</f>
        <v>3743.021</v>
      </c>
      <c r="J230" s="221">
        <f t="shared" si="67"/>
        <v>1.641510286</v>
      </c>
      <c r="K230" s="201">
        <f t="shared" si="79"/>
        <v>0.1025943929</v>
      </c>
      <c r="M230" s="202">
        <f t="shared" si="69"/>
        <v>0.5232336525</v>
      </c>
      <c r="N230" s="203">
        <f t="shared" si="70"/>
        <v>0.1308084131</v>
      </c>
      <c r="O230" s="204">
        <f t="shared" si="71"/>
        <v>0.7238655169</v>
      </c>
      <c r="P230" s="203">
        <f t="shared" si="72"/>
        <v>0.09048318961</v>
      </c>
      <c r="Q230" s="205">
        <f t="shared" si="73"/>
        <v>1.641510286</v>
      </c>
      <c r="R230" s="203">
        <f t="shared" si="74"/>
        <v>0.1025943929</v>
      </c>
      <c r="S230" s="205">
        <f t="shared" si="75"/>
        <v>0.550140393</v>
      </c>
      <c r="T230" s="203">
        <f t="shared" si="76"/>
        <v>0.01719188728</v>
      </c>
      <c r="U230" s="205">
        <f t="shared" si="77"/>
        <v>0.7768006659</v>
      </c>
      <c r="V230" s="206">
        <f t="shared" si="78"/>
        <v>0.01213751041</v>
      </c>
    </row>
    <row r="231">
      <c r="O231" s="41"/>
      <c r="P231" s="45"/>
      <c r="R231" s="45"/>
      <c r="T231" s="45"/>
      <c r="V231" s="45"/>
    </row>
    <row r="232">
      <c r="A232" s="1" t="s">
        <v>50</v>
      </c>
      <c r="B232" s="2"/>
      <c r="C232" s="2"/>
      <c r="D232" s="2"/>
      <c r="E232" s="2"/>
      <c r="F232" s="2"/>
      <c r="G232" s="2"/>
      <c r="H232" s="2"/>
      <c r="I232" s="2"/>
      <c r="J232" s="2"/>
      <c r="K232" s="3"/>
      <c r="M232" s="1" t="s">
        <v>39</v>
      </c>
      <c r="N232" s="3"/>
      <c r="O232" s="159" t="s">
        <v>40</v>
      </c>
      <c r="P232" s="3"/>
      <c r="Q232" s="1" t="s">
        <v>41</v>
      </c>
      <c r="R232" s="3"/>
      <c r="S232" s="1" t="s">
        <v>42</v>
      </c>
      <c r="T232" s="3"/>
      <c r="U232" s="1" t="s">
        <v>43</v>
      </c>
      <c r="V232" s="3"/>
    </row>
    <row r="233">
      <c r="A233" s="4" t="s">
        <v>1</v>
      </c>
      <c r="B233" s="4" t="s">
        <v>2</v>
      </c>
      <c r="C233" s="7" t="s">
        <v>39</v>
      </c>
      <c r="D233" s="7" t="s">
        <v>40</v>
      </c>
      <c r="E233" s="7" t="s">
        <v>41</v>
      </c>
      <c r="F233" s="7" t="s">
        <v>42</v>
      </c>
      <c r="G233" s="7" t="s">
        <v>43</v>
      </c>
      <c r="H233" s="160" t="s">
        <v>44</v>
      </c>
      <c r="I233" s="160" t="s">
        <v>45</v>
      </c>
      <c r="J233" s="160" t="s">
        <v>46</v>
      </c>
      <c r="K233" s="160" t="s">
        <v>47</v>
      </c>
      <c r="M233" s="160" t="s">
        <v>46</v>
      </c>
      <c r="N233" s="160" t="s">
        <v>47</v>
      </c>
      <c r="O233" s="8" t="s">
        <v>46</v>
      </c>
      <c r="P233" s="161" t="s">
        <v>47</v>
      </c>
      <c r="Q233" s="160" t="s">
        <v>46</v>
      </c>
      <c r="R233" s="161" t="s">
        <v>47</v>
      </c>
      <c r="S233" s="160" t="s">
        <v>46</v>
      </c>
      <c r="T233" s="161" t="s">
        <v>47</v>
      </c>
      <c r="U233" s="160" t="s">
        <v>46</v>
      </c>
      <c r="V233" s="161" t="s">
        <v>47</v>
      </c>
    </row>
    <row r="234">
      <c r="A234" s="162" t="s">
        <v>16</v>
      </c>
      <c r="B234" s="207" t="s">
        <v>17</v>
      </c>
      <c r="C234" s="164">
        <f t="shared" ref="C234:C243" si="80">O29</f>
        <v>171</v>
      </c>
      <c r="D234" s="166">
        <f t="shared" ref="D234:D243" si="81">O70</f>
        <v>171</v>
      </c>
      <c r="E234" s="165">
        <f t="shared" ref="E234:E243" si="82">O111</f>
        <v>151</v>
      </c>
      <c r="F234" s="166">
        <f t="shared" ref="F234:F243" si="83">O152</f>
        <v>291</v>
      </c>
      <c r="G234" s="222">
        <f t="shared" ref="G234:G243" si="84">O193</f>
        <v>230</v>
      </c>
      <c r="H234" s="168">
        <f t="shared" ref="H234:H243" si="85">MIN(C234:G234)</f>
        <v>151</v>
      </c>
      <c r="I234" s="168">
        <f>sequential!O3</f>
        <v>284</v>
      </c>
      <c r="J234" s="170">
        <f t="shared" ref="J234:J243" si="86">I234/H234</f>
        <v>1.880794702</v>
      </c>
      <c r="K234" s="171">
        <f t="shared" ref="K234:K243" si="87">J234/16</f>
        <v>0.1175496689</v>
      </c>
      <c r="M234" s="172">
        <f t="shared" ref="M234:M243" si="88">I234/C234</f>
        <v>1.660818713</v>
      </c>
      <c r="N234" s="173">
        <f t="shared" ref="N234:N243" si="89">M234/4</f>
        <v>0.4152046784</v>
      </c>
      <c r="O234" s="174">
        <f t="shared" ref="O234:O243" si="90">I234/D234</f>
        <v>1.660818713</v>
      </c>
      <c r="P234" s="173">
        <f t="shared" ref="P234:P243" si="91">O234/8</f>
        <v>0.2076023392</v>
      </c>
      <c r="Q234" s="175">
        <f t="shared" ref="Q234:Q243" si="92">I234/E234</f>
        <v>1.880794702</v>
      </c>
      <c r="R234" s="173">
        <f t="shared" ref="R234:R243" si="93">Q234/16</f>
        <v>0.1175496689</v>
      </c>
      <c r="S234" s="175">
        <f t="shared" ref="S234:S243" si="94">I234/F234</f>
        <v>0.9759450172</v>
      </c>
      <c r="T234" s="173">
        <f t="shared" ref="T234:T243" si="95">S234/32</f>
        <v>0.03049828179</v>
      </c>
      <c r="U234" s="175">
        <f t="shared" ref="U234:U243" si="96">I234/G234</f>
        <v>1.234782609</v>
      </c>
      <c r="V234" s="176">
        <f t="shared" ref="V234:V243" si="97">U234/64</f>
        <v>0.01929347826</v>
      </c>
    </row>
    <row r="235">
      <c r="A235" s="32"/>
      <c r="B235" s="210" t="s">
        <v>18</v>
      </c>
      <c r="C235" s="178">
        <f t="shared" si="80"/>
        <v>169.6203</v>
      </c>
      <c r="D235" s="180">
        <f t="shared" si="81"/>
        <v>165.9643</v>
      </c>
      <c r="E235" s="179">
        <f t="shared" si="82"/>
        <v>150.5448</v>
      </c>
      <c r="F235" s="180">
        <f t="shared" si="83"/>
        <v>292.4856</v>
      </c>
      <c r="G235" s="223">
        <f t="shared" si="84"/>
        <v>227.0617</v>
      </c>
      <c r="H235" s="168">
        <f t="shared" si="85"/>
        <v>150.5448</v>
      </c>
      <c r="I235" s="168">
        <f>sequential!O4</f>
        <v>282.7915</v>
      </c>
      <c r="J235" s="182">
        <f t="shared" si="86"/>
        <v>1.878454121</v>
      </c>
      <c r="K235" s="183">
        <f t="shared" si="87"/>
        <v>0.1174033826</v>
      </c>
      <c r="M235" s="184">
        <f t="shared" si="88"/>
        <v>1.667203159</v>
      </c>
      <c r="N235" s="45">
        <f t="shared" si="89"/>
        <v>0.4168007898</v>
      </c>
      <c r="O235" s="185">
        <f t="shared" si="90"/>
        <v>1.703929701</v>
      </c>
      <c r="P235" s="45">
        <f t="shared" si="91"/>
        <v>0.2129912126</v>
      </c>
      <c r="Q235" s="186">
        <f t="shared" si="92"/>
        <v>1.878454121</v>
      </c>
      <c r="R235" s="45">
        <f t="shared" si="93"/>
        <v>0.1174033826</v>
      </c>
      <c r="S235" s="186">
        <f t="shared" si="94"/>
        <v>0.9668561461</v>
      </c>
      <c r="T235" s="45">
        <f t="shared" si="95"/>
        <v>0.03021425457</v>
      </c>
      <c r="U235" s="186">
        <f t="shared" si="96"/>
        <v>1.245439015</v>
      </c>
      <c r="V235" s="187">
        <f t="shared" si="97"/>
        <v>0.01945998461</v>
      </c>
    </row>
    <row r="236">
      <c r="A236" s="25" t="s">
        <v>19</v>
      </c>
      <c r="B236" s="213" t="s">
        <v>17</v>
      </c>
      <c r="C236" s="29">
        <f t="shared" si="80"/>
        <v>363</v>
      </c>
      <c r="D236" s="30">
        <f t="shared" si="81"/>
        <v>352</v>
      </c>
      <c r="E236" s="188">
        <f t="shared" si="82"/>
        <v>281</v>
      </c>
      <c r="F236" s="30">
        <f t="shared" si="83"/>
        <v>535</v>
      </c>
      <c r="G236" s="224">
        <f t="shared" si="84"/>
        <v>380</v>
      </c>
      <c r="H236" s="190">
        <f t="shared" si="85"/>
        <v>281</v>
      </c>
      <c r="I236" s="190">
        <f>sequential!O5</f>
        <v>826</v>
      </c>
      <c r="J236" s="191">
        <f t="shared" si="86"/>
        <v>2.939501779</v>
      </c>
      <c r="K236" s="192">
        <f t="shared" si="87"/>
        <v>0.1837188612</v>
      </c>
      <c r="M236" s="184">
        <f t="shared" si="88"/>
        <v>2.275482094</v>
      </c>
      <c r="N236" s="45">
        <f t="shared" si="89"/>
        <v>0.5688705234</v>
      </c>
      <c r="O236" s="185">
        <f t="shared" si="90"/>
        <v>2.346590909</v>
      </c>
      <c r="P236" s="45">
        <f t="shared" si="91"/>
        <v>0.2933238636</v>
      </c>
      <c r="Q236" s="186">
        <f t="shared" si="92"/>
        <v>2.939501779</v>
      </c>
      <c r="R236" s="45">
        <f t="shared" si="93"/>
        <v>0.1837188612</v>
      </c>
      <c r="S236" s="186">
        <f t="shared" si="94"/>
        <v>1.543925234</v>
      </c>
      <c r="T236" s="45">
        <f t="shared" si="95"/>
        <v>0.04824766355</v>
      </c>
      <c r="U236" s="186">
        <f t="shared" si="96"/>
        <v>2.173684211</v>
      </c>
      <c r="V236" s="187">
        <f t="shared" si="97"/>
        <v>0.03396381579</v>
      </c>
    </row>
    <row r="237">
      <c r="A237" s="32"/>
      <c r="B237" s="216" t="s">
        <v>18</v>
      </c>
      <c r="C237" s="29">
        <f t="shared" si="80"/>
        <v>367.597</v>
      </c>
      <c r="D237" s="30">
        <f t="shared" si="81"/>
        <v>353.2069</v>
      </c>
      <c r="E237" s="188">
        <f t="shared" si="82"/>
        <v>278.8201</v>
      </c>
      <c r="F237" s="30">
        <f t="shared" si="83"/>
        <v>537.1655</v>
      </c>
      <c r="G237" s="224">
        <f t="shared" si="84"/>
        <v>383.9207</v>
      </c>
      <c r="H237" s="190">
        <f t="shared" si="85"/>
        <v>278.8201</v>
      </c>
      <c r="I237" s="190">
        <f>sequential!O6</f>
        <v>827.5504</v>
      </c>
      <c r="J237" s="191">
        <f t="shared" si="86"/>
        <v>2.968044269</v>
      </c>
      <c r="K237" s="192">
        <f t="shared" si="87"/>
        <v>0.1855027668</v>
      </c>
      <c r="M237" s="184">
        <f t="shared" si="88"/>
        <v>2.251243617</v>
      </c>
      <c r="N237" s="45">
        <f t="shared" si="89"/>
        <v>0.5628109043</v>
      </c>
      <c r="O237" s="185">
        <f t="shared" si="90"/>
        <v>2.342962156</v>
      </c>
      <c r="P237" s="45">
        <f t="shared" si="91"/>
        <v>0.2928702695</v>
      </c>
      <c r="Q237" s="186">
        <f t="shared" si="92"/>
        <v>2.968044269</v>
      </c>
      <c r="R237" s="45">
        <f t="shared" si="93"/>
        <v>0.1855027668</v>
      </c>
      <c r="S237" s="186">
        <f t="shared" si="94"/>
        <v>1.540587398</v>
      </c>
      <c r="T237" s="45">
        <f t="shared" si="95"/>
        <v>0.04814335619</v>
      </c>
      <c r="U237" s="186">
        <f t="shared" si="96"/>
        <v>2.155524305</v>
      </c>
      <c r="V237" s="187">
        <f t="shared" si="97"/>
        <v>0.03368006726</v>
      </c>
    </row>
    <row r="238">
      <c r="A238" s="162" t="s">
        <v>20</v>
      </c>
      <c r="B238" s="207" t="s">
        <v>17</v>
      </c>
      <c r="C238" s="178">
        <f t="shared" si="80"/>
        <v>663</v>
      </c>
      <c r="D238" s="244">
        <f t="shared" si="81"/>
        <v>765</v>
      </c>
      <c r="E238" s="179">
        <f t="shared" si="82"/>
        <v>606</v>
      </c>
      <c r="F238" s="180">
        <f t="shared" si="83"/>
        <v>865</v>
      </c>
      <c r="G238" s="223">
        <f t="shared" si="84"/>
        <v>1134</v>
      </c>
      <c r="H238" s="168">
        <f t="shared" si="85"/>
        <v>606</v>
      </c>
      <c r="I238" s="168">
        <f>sequential!O7</f>
        <v>1162</v>
      </c>
      <c r="J238" s="182">
        <f t="shared" si="86"/>
        <v>1.917491749</v>
      </c>
      <c r="K238" s="183">
        <f t="shared" si="87"/>
        <v>0.1198432343</v>
      </c>
      <c r="M238" s="184">
        <f t="shared" si="88"/>
        <v>1.752639517</v>
      </c>
      <c r="N238" s="45">
        <f t="shared" si="89"/>
        <v>0.4381598793</v>
      </c>
      <c r="O238" s="185">
        <f t="shared" si="90"/>
        <v>1.518954248</v>
      </c>
      <c r="P238" s="45">
        <f t="shared" si="91"/>
        <v>0.189869281</v>
      </c>
      <c r="Q238" s="186">
        <f t="shared" si="92"/>
        <v>1.917491749</v>
      </c>
      <c r="R238" s="45">
        <f t="shared" si="93"/>
        <v>0.1198432343</v>
      </c>
      <c r="S238" s="186">
        <f t="shared" si="94"/>
        <v>1.343352601</v>
      </c>
      <c r="T238" s="45">
        <f t="shared" si="95"/>
        <v>0.04197976879</v>
      </c>
      <c r="U238" s="186">
        <f t="shared" si="96"/>
        <v>1.024691358</v>
      </c>
      <c r="V238" s="187">
        <f t="shared" si="97"/>
        <v>0.01601080247</v>
      </c>
    </row>
    <row r="239">
      <c r="A239" s="32"/>
      <c r="B239" s="217" t="s">
        <v>18</v>
      </c>
      <c r="C239" s="178">
        <f t="shared" si="80"/>
        <v>669.8646</v>
      </c>
      <c r="D239" s="244">
        <f t="shared" si="81"/>
        <v>765.174</v>
      </c>
      <c r="E239" s="179">
        <f t="shared" si="82"/>
        <v>612.1218</v>
      </c>
      <c r="F239" s="180">
        <f t="shared" si="83"/>
        <v>861.2662</v>
      </c>
      <c r="G239" s="223">
        <f t="shared" si="84"/>
        <v>1132.588</v>
      </c>
      <c r="H239" s="168">
        <f t="shared" si="85"/>
        <v>612.1218</v>
      </c>
      <c r="I239" s="168">
        <f>sequential!O8</f>
        <v>1174.137</v>
      </c>
      <c r="J239" s="182">
        <f t="shared" si="86"/>
        <v>1.918142762</v>
      </c>
      <c r="K239" s="183">
        <f t="shared" si="87"/>
        <v>0.1198839226</v>
      </c>
      <c r="M239" s="184">
        <f t="shared" si="88"/>
        <v>1.752797506</v>
      </c>
      <c r="N239" s="45">
        <f t="shared" si="89"/>
        <v>0.4381993764</v>
      </c>
      <c r="O239" s="185">
        <f t="shared" si="90"/>
        <v>1.534470591</v>
      </c>
      <c r="P239" s="45">
        <f t="shared" si="91"/>
        <v>0.1918088239</v>
      </c>
      <c r="Q239" s="186">
        <f t="shared" si="92"/>
        <v>1.918142762</v>
      </c>
      <c r="R239" s="45">
        <f t="shared" si="93"/>
        <v>0.1198839226</v>
      </c>
      <c r="S239" s="186">
        <f t="shared" si="94"/>
        <v>1.363268406</v>
      </c>
      <c r="T239" s="45">
        <f t="shared" si="95"/>
        <v>0.0426021377</v>
      </c>
      <c r="U239" s="186">
        <f t="shared" si="96"/>
        <v>1.036685008</v>
      </c>
      <c r="V239" s="187">
        <f t="shared" si="97"/>
        <v>0.01619820325</v>
      </c>
    </row>
    <row r="240">
      <c r="A240" s="25" t="s">
        <v>21</v>
      </c>
      <c r="B240" s="213" t="s">
        <v>17</v>
      </c>
      <c r="C240" s="29">
        <f t="shared" si="80"/>
        <v>1301</v>
      </c>
      <c r="D240" s="245">
        <f t="shared" si="81"/>
        <v>1309</v>
      </c>
      <c r="E240" s="188">
        <f t="shared" si="82"/>
        <v>974</v>
      </c>
      <c r="F240" s="30">
        <f t="shared" si="83"/>
        <v>2563</v>
      </c>
      <c r="G240" s="224">
        <f t="shared" si="84"/>
        <v>3155</v>
      </c>
      <c r="H240" s="190">
        <f t="shared" si="85"/>
        <v>974</v>
      </c>
      <c r="I240" s="190">
        <f>sequential!O9</f>
        <v>2400</v>
      </c>
      <c r="J240" s="191">
        <f t="shared" si="86"/>
        <v>2.464065708</v>
      </c>
      <c r="K240" s="192">
        <f t="shared" si="87"/>
        <v>0.1540041068</v>
      </c>
      <c r="M240" s="184">
        <f t="shared" si="88"/>
        <v>1.844734819</v>
      </c>
      <c r="N240" s="45">
        <f t="shared" si="89"/>
        <v>0.4611837048</v>
      </c>
      <c r="O240" s="185">
        <f t="shared" si="90"/>
        <v>1.833460657</v>
      </c>
      <c r="P240" s="45">
        <f t="shared" si="91"/>
        <v>0.2291825821</v>
      </c>
      <c r="Q240" s="186">
        <f t="shared" si="92"/>
        <v>2.464065708</v>
      </c>
      <c r="R240" s="45">
        <f t="shared" si="93"/>
        <v>0.1540041068</v>
      </c>
      <c r="S240" s="186">
        <f t="shared" si="94"/>
        <v>0.9364026531</v>
      </c>
      <c r="T240" s="45">
        <f t="shared" si="95"/>
        <v>0.02926258291</v>
      </c>
      <c r="U240" s="186">
        <f t="shared" si="96"/>
        <v>0.7606973059</v>
      </c>
      <c r="V240" s="187">
        <f t="shared" si="97"/>
        <v>0.0118858954</v>
      </c>
    </row>
    <row r="241">
      <c r="A241" s="32"/>
      <c r="B241" s="216" t="s">
        <v>18</v>
      </c>
      <c r="C241" s="29">
        <f t="shared" si="80"/>
        <v>1293.228</v>
      </c>
      <c r="D241" s="245">
        <f t="shared" si="81"/>
        <v>1309.171</v>
      </c>
      <c r="E241" s="188">
        <f t="shared" si="82"/>
        <v>972.2746</v>
      </c>
      <c r="F241" s="30">
        <f t="shared" si="83"/>
        <v>2576.732</v>
      </c>
      <c r="G241" s="224">
        <f t="shared" si="84"/>
        <v>3158.849</v>
      </c>
      <c r="H241" s="190">
        <f t="shared" si="85"/>
        <v>972.2746</v>
      </c>
      <c r="I241" s="190">
        <f>sequential!O10</f>
        <v>2400.128</v>
      </c>
      <c r="J241" s="191">
        <f t="shared" si="86"/>
        <v>2.468570093</v>
      </c>
      <c r="K241" s="192">
        <f t="shared" si="87"/>
        <v>0.1542856308</v>
      </c>
      <c r="M241" s="184">
        <f t="shared" si="88"/>
        <v>1.855920224</v>
      </c>
      <c r="N241" s="45">
        <f t="shared" si="89"/>
        <v>0.4639800561</v>
      </c>
      <c r="O241" s="185">
        <f t="shared" si="90"/>
        <v>1.833318948</v>
      </c>
      <c r="P241" s="45">
        <f t="shared" si="91"/>
        <v>0.2291648685</v>
      </c>
      <c r="Q241" s="186">
        <f t="shared" si="92"/>
        <v>2.468570093</v>
      </c>
      <c r="R241" s="45">
        <f t="shared" si="93"/>
        <v>0.1542856308</v>
      </c>
      <c r="S241" s="186">
        <f t="shared" si="94"/>
        <v>0.9314620224</v>
      </c>
      <c r="T241" s="45">
        <f t="shared" si="95"/>
        <v>0.0291081882</v>
      </c>
      <c r="U241" s="186">
        <f t="shared" si="96"/>
        <v>0.7598109311</v>
      </c>
      <c r="V241" s="187">
        <f t="shared" si="97"/>
        <v>0.0118720458</v>
      </c>
    </row>
    <row r="242">
      <c r="A242" s="162" t="s">
        <v>22</v>
      </c>
      <c r="B242" s="207" t="s">
        <v>17</v>
      </c>
      <c r="C242" s="178">
        <f t="shared" si="80"/>
        <v>2255</v>
      </c>
      <c r="D242" s="244">
        <f t="shared" si="81"/>
        <v>4930</v>
      </c>
      <c r="E242" s="179">
        <f t="shared" si="82"/>
        <v>1742</v>
      </c>
      <c r="F242" s="180">
        <f t="shared" si="83"/>
        <v>6944</v>
      </c>
      <c r="G242" s="223">
        <f t="shared" si="84"/>
        <v>6136</v>
      </c>
      <c r="H242" s="168">
        <f t="shared" si="85"/>
        <v>1742</v>
      </c>
      <c r="I242" s="168">
        <f>sequential!O11</f>
        <v>3735</v>
      </c>
      <c r="J242" s="182">
        <f t="shared" si="86"/>
        <v>2.144087256</v>
      </c>
      <c r="K242" s="183">
        <f t="shared" si="87"/>
        <v>0.1340054535</v>
      </c>
      <c r="M242" s="184">
        <f t="shared" si="88"/>
        <v>1.65631929</v>
      </c>
      <c r="N242" s="45">
        <f t="shared" si="89"/>
        <v>0.4140798226</v>
      </c>
      <c r="O242" s="185">
        <f t="shared" si="90"/>
        <v>0.7576064909</v>
      </c>
      <c r="P242" s="45">
        <f t="shared" si="91"/>
        <v>0.09470081136</v>
      </c>
      <c r="Q242" s="186">
        <f t="shared" si="92"/>
        <v>2.144087256</v>
      </c>
      <c r="R242" s="45">
        <f t="shared" si="93"/>
        <v>0.1340054535</v>
      </c>
      <c r="S242" s="186">
        <f t="shared" si="94"/>
        <v>0.537874424</v>
      </c>
      <c r="T242" s="45">
        <f t="shared" si="95"/>
        <v>0.01680857575</v>
      </c>
      <c r="U242" s="186">
        <f t="shared" si="96"/>
        <v>0.6087027379</v>
      </c>
      <c r="V242" s="187">
        <f t="shared" si="97"/>
        <v>0.00951098028</v>
      </c>
    </row>
    <row r="243">
      <c r="A243" s="32"/>
      <c r="B243" s="219" t="s">
        <v>18</v>
      </c>
      <c r="C243" s="195">
        <f t="shared" si="80"/>
        <v>2259.269</v>
      </c>
      <c r="D243" s="246">
        <f t="shared" si="81"/>
        <v>4952.141</v>
      </c>
      <c r="E243" s="196">
        <f t="shared" si="82"/>
        <v>1746.933</v>
      </c>
      <c r="F243" s="197">
        <f t="shared" si="83"/>
        <v>6960.507</v>
      </c>
      <c r="G243" s="225">
        <f t="shared" si="84"/>
        <v>6155.191</v>
      </c>
      <c r="H243" s="199">
        <f t="shared" si="85"/>
        <v>1746.933</v>
      </c>
      <c r="I243" s="199">
        <f>sequential!O12</f>
        <v>3743.021</v>
      </c>
      <c r="J243" s="200">
        <f t="shared" si="86"/>
        <v>2.142624245</v>
      </c>
      <c r="K243" s="201">
        <f t="shared" si="87"/>
        <v>0.1339140153</v>
      </c>
      <c r="M243" s="202">
        <f t="shared" si="88"/>
        <v>1.656739857</v>
      </c>
      <c r="N243" s="203">
        <f t="shared" si="89"/>
        <v>0.4141849643</v>
      </c>
      <c r="O243" s="204">
        <f t="shared" si="90"/>
        <v>0.7558389392</v>
      </c>
      <c r="P243" s="203">
        <f t="shared" si="91"/>
        <v>0.09447986739</v>
      </c>
      <c r="Q243" s="205">
        <f t="shared" si="92"/>
        <v>2.142624245</v>
      </c>
      <c r="R243" s="203">
        <f t="shared" si="93"/>
        <v>0.1339140153</v>
      </c>
      <c r="S243" s="205">
        <f t="shared" si="94"/>
        <v>0.5377512012</v>
      </c>
      <c r="T243" s="203">
        <f t="shared" si="95"/>
        <v>0.01680472504</v>
      </c>
      <c r="U243" s="205">
        <f t="shared" si="96"/>
        <v>0.6081080181</v>
      </c>
      <c r="V243" s="206">
        <f t="shared" si="97"/>
        <v>0.009501687783</v>
      </c>
    </row>
    <row r="244">
      <c r="O244" s="41"/>
      <c r="P244" s="45"/>
      <c r="R244" s="45"/>
      <c r="T244" s="45"/>
      <c r="V244" s="45"/>
    </row>
    <row r="245">
      <c r="O245" s="41"/>
      <c r="P245" s="45"/>
      <c r="R245" s="45"/>
      <c r="T245" s="45"/>
      <c r="V245" s="45"/>
    </row>
    <row r="246">
      <c r="O246" s="41"/>
      <c r="P246" s="45"/>
      <c r="R246" s="45"/>
      <c r="T246" s="45"/>
      <c r="V246" s="45"/>
    </row>
    <row r="247">
      <c r="A247" s="247" t="s">
        <v>70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O247" s="41"/>
      <c r="P247" s="45"/>
      <c r="R247" s="45"/>
      <c r="T247" s="45"/>
      <c r="V247" s="45"/>
    </row>
    <row r="248">
      <c r="A248" s="248" t="s">
        <v>71</v>
      </c>
      <c r="B248" s="249"/>
      <c r="C248" s="250" t="s">
        <v>39</v>
      </c>
      <c r="D248" s="3"/>
      <c r="E248" s="251" t="s">
        <v>40</v>
      </c>
      <c r="F248" s="3"/>
      <c r="G248" s="252" t="s">
        <v>41</v>
      </c>
      <c r="H248" s="3"/>
      <c r="I248" s="252" t="s">
        <v>42</v>
      </c>
      <c r="J248" s="3"/>
      <c r="K248" s="247" t="s">
        <v>43</v>
      </c>
      <c r="L248" s="3"/>
      <c r="O248" s="41"/>
      <c r="P248" s="45"/>
      <c r="R248" s="45"/>
      <c r="T248" s="45"/>
      <c r="V248" s="45"/>
    </row>
    <row r="249">
      <c r="A249" s="6" t="s">
        <v>1</v>
      </c>
      <c r="B249" s="6" t="s">
        <v>2</v>
      </c>
      <c r="C249" s="253" t="s">
        <v>72</v>
      </c>
      <c r="D249" s="254" t="s">
        <v>73</v>
      </c>
      <c r="E249" s="253" t="s">
        <v>72</v>
      </c>
      <c r="F249" s="255" t="s">
        <v>73</v>
      </c>
      <c r="G249" s="253" t="s">
        <v>72</v>
      </c>
      <c r="H249" s="255" t="s">
        <v>73</v>
      </c>
      <c r="I249" s="253" t="s">
        <v>72</v>
      </c>
      <c r="J249" s="255" t="s">
        <v>73</v>
      </c>
      <c r="K249" s="255" t="s">
        <v>72</v>
      </c>
      <c r="L249" s="255" t="s">
        <v>73</v>
      </c>
      <c r="O249" s="41"/>
      <c r="P249" s="45"/>
      <c r="R249" s="45"/>
      <c r="T249" s="45"/>
      <c r="V249" s="45"/>
    </row>
    <row r="250">
      <c r="A250" s="25" t="s">
        <v>16</v>
      </c>
      <c r="B250" s="213" t="s">
        <v>17</v>
      </c>
      <c r="C250" s="256">
        <f>parallel_no_simd!O3</f>
        <v>552</v>
      </c>
      <c r="D250" s="257">
        <f t="shared" ref="D250:D259" si="98">O3</f>
        <v>934</v>
      </c>
      <c r="E250" s="258">
        <f>parallel_no_simd!O44</f>
        <v>326</v>
      </c>
      <c r="F250" s="259">
        <f t="shared" ref="F250:F259" si="99">O44</f>
        <v>224</v>
      </c>
      <c r="G250" s="258">
        <f>parallel_no_simd!O85</f>
        <v>643</v>
      </c>
      <c r="H250" s="260">
        <f t="shared" ref="H250:H259" si="100">O85</f>
        <v>393</v>
      </c>
      <c r="I250" s="258">
        <f>parallel_no_simd!O126</f>
        <v>490</v>
      </c>
      <c r="J250" s="260">
        <f t="shared" ref="J250:J259" si="101">O126</f>
        <v>314</v>
      </c>
      <c r="K250" s="261"/>
      <c r="L250" s="262"/>
      <c r="O250" s="41"/>
      <c r="P250" s="45"/>
      <c r="R250" s="45"/>
      <c r="T250" s="45"/>
      <c r="V250" s="45"/>
    </row>
    <row r="251">
      <c r="A251" s="32"/>
      <c r="B251" s="216" t="s">
        <v>18</v>
      </c>
      <c r="C251" s="263">
        <f>parallel_no_simd!O4</f>
        <v>737.5493</v>
      </c>
      <c r="D251" s="264">
        <f t="shared" si="98"/>
        <v>961.9867</v>
      </c>
      <c r="E251" s="263">
        <f>parallel_no_simd!O45</f>
        <v>330.6993</v>
      </c>
      <c r="F251" s="265">
        <f t="shared" si="99"/>
        <v>408.6041</v>
      </c>
      <c r="G251" s="266">
        <f>parallel_no_simd!O86</f>
        <v>648.742</v>
      </c>
      <c r="H251" s="267">
        <f t="shared" si="100"/>
        <v>397.0365</v>
      </c>
      <c r="I251" s="266">
        <f>parallel_no_simd!O127</f>
        <v>483.8582</v>
      </c>
      <c r="J251" s="267">
        <f t="shared" si="101"/>
        <v>315.0863</v>
      </c>
      <c r="K251" s="268"/>
      <c r="L251" s="269"/>
      <c r="O251" s="41"/>
      <c r="P251" s="45"/>
      <c r="R251" s="45"/>
      <c r="T251" s="45"/>
      <c r="V251" s="45"/>
    </row>
    <row r="252">
      <c r="A252" s="25" t="s">
        <v>19</v>
      </c>
      <c r="B252" s="213" t="s">
        <v>17</v>
      </c>
      <c r="C252" s="263">
        <f>parallel_no_simd!O5</f>
        <v>796</v>
      </c>
      <c r="D252" s="264">
        <f t="shared" si="98"/>
        <v>1384</v>
      </c>
      <c r="E252" s="266">
        <f>parallel_no_simd!O46</f>
        <v>619</v>
      </c>
      <c r="F252" s="267">
        <f t="shared" si="99"/>
        <v>425</v>
      </c>
      <c r="G252" s="266">
        <f>parallel_no_simd!O87</f>
        <v>1192</v>
      </c>
      <c r="H252" s="267">
        <f t="shared" si="100"/>
        <v>530</v>
      </c>
      <c r="I252" s="266">
        <f>parallel_no_simd!O128</f>
        <v>940</v>
      </c>
      <c r="J252" s="267">
        <f t="shared" si="101"/>
        <v>461</v>
      </c>
      <c r="K252" s="268"/>
      <c r="L252" s="269"/>
      <c r="O252" s="41"/>
      <c r="P252" s="45"/>
      <c r="R252" s="45"/>
      <c r="T252" s="45"/>
      <c r="V252" s="45"/>
    </row>
    <row r="253">
      <c r="A253" s="32"/>
      <c r="B253" s="216" t="s">
        <v>18</v>
      </c>
      <c r="C253" s="270">
        <f>parallel_no_simd!O6</f>
        <v>1500.53</v>
      </c>
      <c r="D253" s="267">
        <f t="shared" si="98"/>
        <v>1394.634</v>
      </c>
      <c r="E253" s="263">
        <f>parallel_no_simd!O47</f>
        <v>627.6572</v>
      </c>
      <c r="F253" s="264">
        <f t="shared" si="99"/>
        <v>661.6873</v>
      </c>
      <c r="G253" s="266">
        <f>parallel_no_simd!O88</f>
        <v>1201.03</v>
      </c>
      <c r="H253" s="267">
        <f t="shared" si="100"/>
        <v>527.1769</v>
      </c>
      <c r="I253" s="266">
        <f>parallel_no_simd!O129</f>
        <v>937.0074</v>
      </c>
      <c r="J253" s="267">
        <f t="shared" si="101"/>
        <v>457.4838</v>
      </c>
      <c r="K253" s="268"/>
      <c r="L253" s="269"/>
      <c r="O253" s="41"/>
      <c r="P253" s="45"/>
      <c r="R253" s="45"/>
      <c r="T253" s="45"/>
      <c r="V253" s="45"/>
    </row>
    <row r="254">
      <c r="A254" s="25" t="s">
        <v>20</v>
      </c>
      <c r="B254" s="213" t="s">
        <v>17</v>
      </c>
      <c r="C254" s="263">
        <f>parallel_no_simd!O7</f>
        <v>1654</v>
      </c>
      <c r="D254" s="264">
        <f t="shared" si="98"/>
        <v>2239</v>
      </c>
      <c r="E254" s="266">
        <f>parallel_no_simd!O48</f>
        <v>1162</v>
      </c>
      <c r="F254" s="267">
        <f t="shared" si="99"/>
        <v>776</v>
      </c>
      <c r="G254" s="266">
        <f>parallel_no_simd!O89</f>
        <v>2086</v>
      </c>
      <c r="H254" s="267">
        <f t="shared" si="100"/>
        <v>1258</v>
      </c>
      <c r="I254" s="266">
        <f>parallel_no_simd!O130</f>
        <v>1821</v>
      </c>
      <c r="J254" s="267">
        <f t="shared" si="101"/>
        <v>1416</v>
      </c>
      <c r="K254" s="268"/>
      <c r="L254" s="269"/>
      <c r="O254" s="41"/>
      <c r="P254" s="45"/>
      <c r="R254" s="45"/>
      <c r="T254" s="45"/>
      <c r="V254" s="45"/>
    </row>
    <row r="255">
      <c r="A255" s="32"/>
      <c r="B255" s="216" t="s">
        <v>18</v>
      </c>
      <c r="C255" s="270">
        <f>parallel_no_simd!O8</f>
        <v>3053.117</v>
      </c>
      <c r="D255" s="267">
        <f t="shared" si="98"/>
        <v>2257.886</v>
      </c>
      <c r="E255" s="266">
        <f>parallel_no_simd!O49</f>
        <v>1157.044</v>
      </c>
      <c r="F255" s="267">
        <f t="shared" si="99"/>
        <v>990.0816</v>
      </c>
      <c r="G255" s="266">
        <f>parallel_no_simd!O90</f>
        <v>2096.641</v>
      </c>
      <c r="H255" s="267">
        <f t="shared" si="100"/>
        <v>1252.942</v>
      </c>
      <c r="I255" s="266">
        <f>parallel_no_simd!O131</f>
        <v>1822.235</v>
      </c>
      <c r="J255" s="267">
        <f t="shared" si="101"/>
        <v>1407.749</v>
      </c>
      <c r="K255" s="268"/>
      <c r="L255" s="269"/>
      <c r="O255" s="41"/>
      <c r="P255" s="45"/>
      <c r="R255" s="45"/>
      <c r="T255" s="45"/>
      <c r="V255" s="45"/>
    </row>
    <row r="256">
      <c r="A256" s="25" t="s">
        <v>21</v>
      </c>
      <c r="B256" s="213" t="s">
        <v>17</v>
      </c>
      <c r="C256" s="263">
        <f>parallel_no_simd!O9</f>
        <v>3252</v>
      </c>
      <c r="D256" s="264">
        <f t="shared" si="98"/>
        <v>3568</v>
      </c>
      <c r="E256" s="266">
        <f>parallel_no_simd!O50</f>
        <v>2228</v>
      </c>
      <c r="F256" s="271">
        <f t="shared" si="99"/>
        <v>1746</v>
      </c>
      <c r="G256" s="266">
        <f>parallel_no_simd!O91</f>
        <v>3830</v>
      </c>
      <c r="H256" s="267">
        <f t="shared" si="100"/>
        <v>2726</v>
      </c>
      <c r="I256" s="266">
        <f>parallel_no_simd!O132</f>
        <v>3570</v>
      </c>
      <c r="J256" s="267">
        <f t="shared" si="101"/>
        <v>2883</v>
      </c>
      <c r="K256" s="268"/>
      <c r="L256" s="269"/>
      <c r="O256" s="41"/>
      <c r="P256" s="45"/>
      <c r="R256" s="45"/>
      <c r="T256" s="45"/>
      <c r="V256" s="45"/>
    </row>
    <row r="257">
      <c r="A257" s="32"/>
      <c r="B257" s="216" t="s">
        <v>18</v>
      </c>
      <c r="C257" s="270">
        <f>parallel_no_simd!O10</f>
        <v>4822.999</v>
      </c>
      <c r="D257" s="267">
        <f t="shared" si="98"/>
        <v>4501.539</v>
      </c>
      <c r="E257" s="263">
        <f>parallel_no_simd!O51</f>
        <v>2233.483</v>
      </c>
      <c r="F257" s="265">
        <f t="shared" si="99"/>
        <v>2412.371</v>
      </c>
      <c r="G257" s="266">
        <f>parallel_no_simd!O92</f>
        <v>3840.761</v>
      </c>
      <c r="H257" s="267">
        <f t="shared" si="100"/>
        <v>2722.144</v>
      </c>
      <c r="I257" s="266">
        <f>parallel_no_simd!O133</f>
        <v>3584.124</v>
      </c>
      <c r="J257" s="267">
        <f t="shared" si="101"/>
        <v>2893.431</v>
      </c>
      <c r="K257" s="268"/>
      <c r="L257" s="269"/>
      <c r="O257" s="41"/>
      <c r="P257" s="45"/>
      <c r="R257" s="45"/>
      <c r="T257" s="45"/>
      <c r="V257" s="45"/>
    </row>
    <row r="258">
      <c r="A258" s="25" t="s">
        <v>22</v>
      </c>
      <c r="B258" s="213" t="s">
        <v>17</v>
      </c>
      <c r="C258" s="263">
        <f>parallel_no_simd!O11</f>
        <v>6747</v>
      </c>
      <c r="D258" s="264">
        <f t="shared" si="98"/>
        <v>8171</v>
      </c>
      <c r="E258" s="266">
        <f>parallel_no_simd!O52</f>
        <v>5181</v>
      </c>
      <c r="F258" s="267">
        <f t="shared" si="99"/>
        <v>3088</v>
      </c>
      <c r="G258" s="266">
        <f>parallel_no_simd!O93</f>
        <v>6646</v>
      </c>
      <c r="H258" s="267">
        <f t="shared" si="100"/>
        <v>3974</v>
      </c>
      <c r="I258" s="263">
        <f>parallel_no_simd!O134</f>
        <v>6124</v>
      </c>
      <c r="J258" s="264">
        <f t="shared" si="101"/>
        <v>7241</v>
      </c>
      <c r="K258" s="268"/>
      <c r="L258" s="269"/>
      <c r="O258" s="41"/>
      <c r="P258" s="45"/>
      <c r="R258" s="45"/>
      <c r="T258" s="45"/>
      <c r="V258" s="45"/>
    </row>
    <row r="259">
      <c r="A259" s="32"/>
      <c r="B259" s="272" t="s">
        <v>18</v>
      </c>
      <c r="C259" s="273">
        <f>parallel_no_simd!O12</f>
        <v>10233.38</v>
      </c>
      <c r="D259" s="274">
        <f t="shared" si="98"/>
        <v>8704.523</v>
      </c>
      <c r="E259" s="275">
        <f>parallel_no_simd!O53</f>
        <v>5194.429</v>
      </c>
      <c r="F259" s="274">
        <f t="shared" si="99"/>
        <v>4551.069</v>
      </c>
      <c r="G259" s="275">
        <f>parallel_no_simd!O94</f>
        <v>6656.468</v>
      </c>
      <c r="H259" s="274">
        <f t="shared" si="100"/>
        <v>3972.927</v>
      </c>
      <c r="I259" s="276">
        <f>parallel_no_simd!O135</f>
        <v>6148.344</v>
      </c>
      <c r="J259" s="277">
        <f t="shared" si="101"/>
        <v>7259.25</v>
      </c>
      <c r="K259" s="278"/>
      <c r="L259" s="279"/>
      <c r="O259" s="41"/>
      <c r="P259" s="45"/>
      <c r="R259" s="45"/>
      <c r="T259" s="45"/>
      <c r="V259" s="45"/>
    </row>
    <row r="260">
      <c r="A260" s="268"/>
      <c r="B260" s="268"/>
      <c r="C260" s="268"/>
      <c r="D260" s="268"/>
      <c r="E260" s="268"/>
      <c r="F260" s="268"/>
      <c r="G260" s="268"/>
      <c r="H260" s="268"/>
      <c r="I260" s="280"/>
      <c r="J260" s="268"/>
      <c r="K260" s="268"/>
      <c r="L260" s="268"/>
      <c r="O260" s="41"/>
      <c r="P260" s="45"/>
      <c r="R260" s="45"/>
      <c r="T260" s="45"/>
      <c r="V260" s="45"/>
    </row>
    <row r="261">
      <c r="A261" s="247" t="s">
        <v>70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O261" s="41"/>
      <c r="P261" s="45"/>
      <c r="R261" s="45"/>
      <c r="T261" s="45"/>
      <c r="V261" s="45"/>
    </row>
    <row r="262">
      <c r="A262" s="248" t="s">
        <v>74</v>
      </c>
      <c r="B262" s="249"/>
      <c r="C262" s="252" t="s">
        <v>39</v>
      </c>
      <c r="D262" s="3"/>
      <c r="E262" s="251" t="s">
        <v>40</v>
      </c>
      <c r="F262" s="3"/>
      <c r="G262" s="252" t="s">
        <v>41</v>
      </c>
      <c r="H262" s="3"/>
      <c r="I262" s="281" t="s">
        <v>42</v>
      </c>
      <c r="J262" s="3"/>
      <c r="K262" s="251" t="s">
        <v>43</v>
      </c>
      <c r="L262" s="3"/>
      <c r="O262" s="41"/>
      <c r="P262" s="45"/>
      <c r="R262" s="45"/>
      <c r="T262" s="45"/>
      <c r="V262" s="45"/>
    </row>
    <row r="263">
      <c r="A263" s="6" t="s">
        <v>1</v>
      </c>
      <c r="B263" s="6" t="s">
        <v>2</v>
      </c>
      <c r="C263" s="253" t="s">
        <v>72</v>
      </c>
      <c r="D263" s="255" t="s">
        <v>73</v>
      </c>
      <c r="E263" s="255" t="s">
        <v>72</v>
      </c>
      <c r="F263" s="255" t="s">
        <v>73</v>
      </c>
      <c r="G263" s="253" t="s">
        <v>72</v>
      </c>
      <c r="H263" s="253" t="s">
        <v>73</v>
      </c>
      <c r="I263" s="253" t="s">
        <v>72</v>
      </c>
      <c r="J263" s="255" t="s">
        <v>73</v>
      </c>
      <c r="K263" s="253" t="s">
        <v>72</v>
      </c>
      <c r="L263" s="255" t="s">
        <v>73</v>
      </c>
      <c r="O263" s="41"/>
      <c r="P263" s="45"/>
      <c r="R263" s="45"/>
      <c r="T263" s="45"/>
      <c r="V263" s="45"/>
    </row>
    <row r="264">
      <c r="A264" s="25" t="s">
        <v>16</v>
      </c>
      <c r="B264" s="213" t="s">
        <v>17</v>
      </c>
      <c r="C264" s="256">
        <f>parallel_no_simd!O16</f>
        <v>518</v>
      </c>
      <c r="D264" s="257">
        <f t="shared" ref="D264:D273" si="102">O16</f>
        <v>522</v>
      </c>
      <c r="E264" s="258">
        <f>parallel_no_simd!O57</f>
        <v>522</v>
      </c>
      <c r="F264" s="282">
        <f t="shared" ref="F264:F273" si="103">O57</f>
        <v>433</v>
      </c>
      <c r="G264" s="258">
        <f>parallel_no_simd!O98</f>
        <v>1097</v>
      </c>
      <c r="H264" s="282">
        <f t="shared" ref="H264:H273" si="104">O98</f>
        <v>162</v>
      </c>
      <c r="I264" s="258">
        <f>parallel_no_simd!O139</f>
        <v>534</v>
      </c>
      <c r="J264" s="282">
        <f t="shared" ref="J264:J273" si="105">O139</f>
        <v>464</v>
      </c>
      <c r="K264" s="256">
        <f>parallel_no_simd!O180</f>
        <v>130</v>
      </c>
      <c r="L264" s="257">
        <f t="shared" ref="L264:L274" si="106">O180</f>
        <v>131</v>
      </c>
      <c r="O264" s="41"/>
      <c r="P264" s="45"/>
      <c r="R264" s="45"/>
      <c r="T264" s="45"/>
      <c r="V264" s="45"/>
    </row>
    <row r="265">
      <c r="A265" s="32"/>
      <c r="B265" s="216" t="s">
        <v>18</v>
      </c>
      <c r="C265" s="266">
        <f>parallel_no_simd!O17</f>
        <v>902.4866</v>
      </c>
      <c r="D265" s="267">
        <f t="shared" si="102"/>
        <v>528.904</v>
      </c>
      <c r="E265" s="266">
        <f>parallel_no_simd!O58</f>
        <v>528.8034</v>
      </c>
      <c r="F265" s="283">
        <f t="shared" si="103"/>
        <v>482.3923</v>
      </c>
      <c r="G265" s="266">
        <f>parallel_no_simd!O99</f>
        <v>1246.031</v>
      </c>
      <c r="H265" s="283">
        <f t="shared" si="104"/>
        <v>156.2758</v>
      </c>
      <c r="I265" s="266">
        <f>parallel_no_simd!O140</f>
        <v>535.4721</v>
      </c>
      <c r="J265" s="283">
        <f t="shared" si="105"/>
        <v>474.6195</v>
      </c>
      <c r="K265" s="266">
        <f>parallel_no_simd!O181</f>
        <v>124.7916</v>
      </c>
      <c r="L265" s="267">
        <f t="shared" si="106"/>
        <v>124.4472</v>
      </c>
      <c r="O265" s="41"/>
      <c r="P265" s="45"/>
      <c r="R265" s="45"/>
      <c r="T265" s="45"/>
      <c r="V265" s="45"/>
    </row>
    <row r="266">
      <c r="A266" s="25" t="s">
        <v>19</v>
      </c>
      <c r="B266" s="213" t="s">
        <v>17</v>
      </c>
      <c r="C266" s="266">
        <f>parallel_no_simd!O18</f>
        <v>1070</v>
      </c>
      <c r="D266" s="267">
        <f t="shared" si="102"/>
        <v>695</v>
      </c>
      <c r="E266" s="263">
        <f>parallel_no_simd!O59</f>
        <v>837</v>
      </c>
      <c r="F266" s="284">
        <f t="shared" si="103"/>
        <v>1362</v>
      </c>
      <c r="G266" s="266">
        <f>parallel_no_simd!O100</f>
        <v>1672</v>
      </c>
      <c r="H266" s="283">
        <f t="shared" si="104"/>
        <v>261</v>
      </c>
      <c r="I266" s="263">
        <f>parallel_no_simd!O141</f>
        <v>622</v>
      </c>
      <c r="J266" s="284">
        <f t="shared" si="105"/>
        <v>1017</v>
      </c>
      <c r="K266" s="263">
        <f>parallel_no_simd!O182</f>
        <v>240</v>
      </c>
      <c r="L266" s="264">
        <f t="shared" si="106"/>
        <v>240</v>
      </c>
      <c r="O266" s="41"/>
      <c r="P266" s="45"/>
      <c r="R266" s="45"/>
      <c r="T266" s="45"/>
      <c r="V266" s="45"/>
    </row>
    <row r="267">
      <c r="A267" s="32"/>
      <c r="B267" s="216" t="s">
        <v>18</v>
      </c>
      <c r="C267" s="266">
        <f>parallel_no_simd!O19</f>
        <v>1353.786</v>
      </c>
      <c r="D267" s="267">
        <f t="shared" si="102"/>
        <v>698.2489</v>
      </c>
      <c r="E267" s="263">
        <f>parallel_no_simd!O60</f>
        <v>835.7929</v>
      </c>
      <c r="F267" s="284">
        <f t="shared" si="103"/>
        <v>1390.322</v>
      </c>
      <c r="G267" s="266">
        <f>parallel_no_simd!O101</f>
        <v>2134.955</v>
      </c>
      <c r="H267" s="283">
        <f t="shared" si="104"/>
        <v>259.6072</v>
      </c>
      <c r="I267" s="263">
        <f>parallel_no_simd!O142</f>
        <v>618.7583</v>
      </c>
      <c r="J267" s="284">
        <f t="shared" si="105"/>
        <v>1017.838</v>
      </c>
      <c r="K267" s="263">
        <f>parallel_no_simd!O183</f>
        <v>234.7095</v>
      </c>
      <c r="L267" s="264">
        <f t="shared" si="106"/>
        <v>235.9917</v>
      </c>
      <c r="O267" s="41"/>
      <c r="P267" s="45"/>
      <c r="R267" s="45"/>
      <c r="T267" s="45"/>
      <c r="V267" s="45"/>
    </row>
    <row r="268">
      <c r="A268" s="25" t="s">
        <v>20</v>
      </c>
      <c r="B268" s="213" t="s">
        <v>17</v>
      </c>
      <c r="C268" s="266">
        <f>parallel_no_simd!O20</f>
        <v>1987</v>
      </c>
      <c r="D268" s="267">
        <f t="shared" si="102"/>
        <v>1810</v>
      </c>
      <c r="E268" s="263">
        <f>parallel_no_simd!O61</f>
        <v>2583</v>
      </c>
      <c r="F268" s="284">
        <f t="shared" si="103"/>
        <v>3311</v>
      </c>
      <c r="G268" s="266">
        <f>parallel_no_simd!O102</f>
        <v>4445</v>
      </c>
      <c r="H268" s="283">
        <f t="shared" si="104"/>
        <v>672</v>
      </c>
      <c r="I268" s="263">
        <f>parallel_no_simd!O143</f>
        <v>1552</v>
      </c>
      <c r="J268" s="284">
        <f t="shared" si="105"/>
        <v>1650</v>
      </c>
      <c r="K268" s="266">
        <f>parallel_no_simd!O184</f>
        <v>450</v>
      </c>
      <c r="L268" s="267">
        <f t="shared" si="106"/>
        <v>450</v>
      </c>
      <c r="O268" s="41"/>
      <c r="P268" s="45"/>
      <c r="R268" s="45"/>
      <c r="T268" s="45"/>
      <c r="V268" s="45"/>
    </row>
    <row r="269">
      <c r="A269" s="32"/>
      <c r="B269" s="216" t="s">
        <v>18</v>
      </c>
      <c r="C269" s="266">
        <f>parallel_no_simd!O21</f>
        <v>2761.851</v>
      </c>
      <c r="D269" s="267">
        <f t="shared" si="102"/>
        <v>1811.779</v>
      </c>
      <c r="E269" s="263">
        <f>parallel_no_simd!O62</f>
        <v>2580.316</v>
      </c>
      <c r="F269" s="284">
        <f t="shared" si="103"/>
        <v>3404.687</v>
      </c>
      <c r="G269" s="266">
        <f>parallel_no_simd!O103</f>
        <v>4669.748</v>
      </c>
      <c r="H269" s="283">
        <f t="shared" si="104"/>
        <v>677.8944</v>
      </c>
      <c r="I269" s="263">
        <f>parallel_no_simd!O144</f>
        <v>1560.467</v>
      </c>
      <c r="J269" s="284">
        <f t="shared" si="105"/>
        <v>1646.342</v>
      </c>
      <c r="K269" s="266">
        <f>parallel_no_simd!O185</f>
        <v>450.208</v>
      </c>
      <c r="L269" s="267">
        <f t="shared" si="106"/>
        <v>441.1603</v>
      </c>
      <c r="O269" s="41"/>
      <c r="P269" s="45"/>
      <c r="R269" s="45"/>
      <c r="T269" s="45"/>
      <c r="V269" s="45"/>
    </row>
    <row r="270">
      <c r="A270" s="25" t="s">
        <v>21</v>
      </c>
      <c r="B270" s="213" t="s">
        <v>17</v>
      </c>
      <c r="C270" s="266">
        <f>parallel_no_simd!O22</f>
        <v>4389</v>
      </c>
      <c r="D270" s="267">
        <f t="shared" si="102"/>
        <v>3890</v>
      </c>
      <c r="E270" s="263">
        <f>parallel_no_simd!O63</f>
        <v>4853</v>
      </c>
      <c r="F270" s="284">
        <f t="shared" si="103"/>
        <v>4937</v>
      </c>
      <c r="G270" s="266">
        <f>parallel_no_simd!O104</f>
        <v>3685</v>
      </c>
      <c r="H270" s="283">
        <f t="shared" si="104"/>
        <v>1080</v>
      </c>
      <c r="I270" s="263">
        <f>parallel_no_simd!O145</f>
        <v>2718</v>
      </c>
      <c r="J270" s="284">
        <f t="shared" si="105"/>
        <v>4942</v>
      </c>
      <c r="K270" s="263">
        <f>parallel_no_simd!O186</f>
        <v>830</v>
      </c>
      <c r="L270" s="264">
        <f t="shared" si="106"/>
        <v>889</v>
      </c>
      <c r="O270" s="41"/>
      <c r="P270" s="45"/>
      <c r="R270" s="45"/>
      <c r="T270" s="45"/>
      <c r="V270" s="45"/>
    </row>
    <row r="271">
      <c r="A271" s="32"/>
      <c r="B271" s="216" t="s">
        <v>18</v>
      </c>
      <c r="C271" s="266">
        <f>parallel_no_simd!O23</f>
        <v>4522.168</v>
      </c>
      <c r="D271" s="267">
        <f t="shared" si="102"/>
        <v>3904.934</v>
      </c>
      <c r="E271" s="263">
        <f>parallel_no_simd!O64</f>
        <v>4865.441</v>
      </c>
      <c r="F271" s="284">
        <f t="shared" si="103"/>
        <v>4949.083</v>
      </c>
      <c r="G271" s="266">
        <f>parallel_no_simd!O105</f>
        <v>6690.791</v>
      </c>
      <c r="H271" s="283">
        <f t="shared" si="104"/>
        <v>1077.893</v>
      </c>
      <c r="I271" s="263">
        <f>parallel_no_simd!O146</f>
        <v>2725.468</v>
      </c>
      <c r="J271" s="284">
        <f t="shared" si="105"/>
        <v>4943.358</v>
      </c>
      <c r="K271" s="263">
        <f>parallel_no_simd!O187</f>
        <v>829.8356</v>
      </c>
      <c r="L271" s="264">
        <f t="shared" si="106"/>
        <v>883.2338</v>
      </c>
      <c r="O271" s="41"/>
      <c r="P271" s="45"/>
      <c r="R271" s="45"/>
      <c r="T271" s="45"/>
      <c r="V271" s="45"/>
    </row>
    <row r="272">
      <c r="A272" s="25" t="s">
        <v>22</v>
      </c>
      <c r="B272" s="213" t="s">
        <v>17</v>
      </c>
      <c r="C272" s="263">
        <f>parallel_no_simd!O24</f>
        <v>5871</v>
      </c>
      <c r="D272" s="264">
        <f t="shared" si="102"/>
        <v>7146</v>
      </c>
      <c r="E272" s="266">
        <f>parallel_no_simd!O65</f>
        <v>7578</v>
      </c>
      <c r="F272" s="283">
        <f t="shared" si="103"/>
        <v>5170</v>
      </c>
      <c r="G272" s="266">
        <f>parallel_no_simd!O106</f>
        <v>7732</v>
      </c>
      <c r="H272" s="283">
        <f t="shared" si="104"/>
        <v>2280</v>
      </c>
      <c r="I272" s="263">
        <f>parallel_no_simd!O147</f>
        <v>6590</v>
      </c>
      <c r="J272" s="284">
        <f t="shared" si="105"/>
        <v>6784</v>
      </c>
      <c r="K272" s="263">
        <f>parallel_no_simd!O188</f>
        <v>3484</v>
      </c>
      <c r="L272" s="264">
        <f t="shared" si="106"/>
        <v>4803</v>
      </c>
      <c r="O272" s="41"/>
      <c r="P272" s="45"/>
      <c r="R272" s="45"/>
      <c r="T272" s="45"/>
      <c r="V272" s="45"/>
    </row>
    <row r="273">
      <c r="A273" s="32"/>
      <c r="B273" s="272" t="s">
        <v>18</v>
      </c>
      <c r="C273" s="275">
        <f>parallel_no_simd!O25</f>
        <v>9228.549</v>
      </c>
      <c r="D273" s="274">
        <f t="shared" si="102"/>
        <v>7153.632</v>
      </c>
      <c r="E273" s="275">
        <f>parallel_no_simd!O66</f>
        <v>7593.95</v>
      </c>
      <c r="F273" s="285">
        <f t="shared" si="103"/>
        <v>5170.879</v>
      </c>
      <c r="G273" s="275">
        <f>parallel_no_simd!O107</f>
        <v>9011.835</v>
      </c>
      <c r="H273" s="285">
        <f t="shared" si="104"/>
        <v>2280.23</v>
      </c>
      <c r="I273" s="276">
        <f>parallel_no_simd!O148</f>
        <v>6598.482</v>
      </c>
      <c r="J273" s="286">
        <f t="shared" si="105"/>
        <v>6803.756</v>
      </c>
      <c r="K273" s="276">
        <f>parallel_no_simd!O189</f>
        <v>3486.738</v>
      </c>
      <c r="L273" s="277">
        <f t="shared" si="106"/>
        <v>4818.509</v>
      </c>
      <c r="O273" s="41"/>
      <c r="P273" s="45"/>
      <c r="R273" s="45"/>
      <c r="T273" s="45"/>
      <c r="V273" s="45"/>
    </row>
    <row r="274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 t="str">
        <f t="shared" si="106"/>
        <v/>
      </c>
      <c r="O274" s="41"/>
      <c r="P274" s="45"/>
      <c r="R274" s="45"/>
      <c r="T274" s="45"/>
      <c r="V274" s="45"/>
    </row>
    <row r="275">
      <c r="A275" s="247" t="s">
        <v>70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O275" s="41"/>
      <c r="P275" s="45"/>
      <c r="R275" s="45"/>
      <c r="T275" s="45"/>
      <c r="V275" s="45"/>
    </row>
    <row r="276">
      <c r="A276" s="248" t="s">
        <v>75</v>
      </c>
      <c r="B276" s="249"/>
      <c r="C276" s="252" t="s">
        <v>39</v>
      </c>
      <c r="D276" s="3"/>
      <c r="E276" s="251" t="s">
        <v>40</v>
      </c>
      <c r="F276" s="3"/>
      <c r="G276" s="252" t="s">
        <v>41</v>
      </c>
      <c r="H276" s="3"/>
      <c r="I276" s="252" t="s">
        <v>42</v>
      </c>
      <c r="J276" s="3"/>
      <c r="K276" s="252" t="s">
        <v>43</v>
      </c>
      <c r="L276" s="3"/>
      <c r="O276" s="41"/>
      <c r="P276" s="45"/>
      <c r="R276" s="45"/>
      <c r="T276" s="45"/>
      <c r="V276" s="45"/>
    </row>
    <row r="277">
      <c r="A277" s="6" t="s">
        <v>1</v>
      </c>
      <c r="B277" s="6" t="s">
        <v>2</v>
      </c>
      <c r="C277" s="253" t="s">
        <v>72</v>
      </c>
      <c r="D277" s="255" t="s">
        <v>73</v>
      </c>
      <c r="E277" s="255" t="s">
        <v>72</v>
      </c>
      <c r="F277" s="255" t="s">
        <v>73</v>
      </c>
      <c r="G277" s="253" t="s">
        <v>72</v>
      </c>
      <c r="H277" s="255" t="s">
        <v>73</v>
      </c>
      <c r="I277" s="253" t="s">
        <v>72</v>
      </c>
      <c r="J277" s="255" t="s">
        <v>73</v>
      </c>
      <c r="K277" s="253" t="s">
        <v>72</v>
      </c>
      <c r="L277" s="255" t="s">
        <v>73</v>
      </c>
      <c r="O277" s="41"/>
      <c r="P277" s="45"/>
      <c r="R277" s="45"/>
      <c r="T277" s="45"/>
      <c r="V277" s="45"/>
    </row>
    <row r="278">
      <c r="A278" s="25" t="s">
        <v>16</v>
      </c>
      <c r="B278" s="213" t="s">
        <v>17</v>
      </c>
      <c r="C278" s="258">
        <f>parallel_no_simd!O29</f>
        <v>502</v>
      </c>
      <c r="D278" s="282">
        <f t="shared" ref="D278:D287" si="107">O29</f>
        <v>171</v>
      </c>
      <c r="E278" s="270">
        <f>parallel_no_simd!O70</f>
        <v>194</v>
      </c>
      <c r="F278" s="282">
        <f t="shared" ref="F278:F287" si="108">O70</f>
        <v>171</v>
      </c>
      <c r="G278" s="258">
        <f>parallel_no_simd!O111</f>
        <v>180</v>
      </c>
      <c r="H278" s="282">
        <f t="shared" ref="H278:H287" si="109">O111</f>
        <v>151</v>
      </c>
      <c r="I278" s="256">
        <f>parallel_no_simd!O152</f>
        <v>264</v>
      </c>
      <c r="J278" s="287">
        <f t="shared" ref="J278:J287" si="110">O152</f>
        <v>291</v>
      </c>
      <c r="K278" s="258">
        <f>parallel_no_simd!O193</f>
        <v>482</v>
      </c>
      <c r="L278" s="260">
        <f t="shared" ref="L278:L287" si="111">O193</f>
        <v>230</v>
      </c>
      <c r="O278" s="41"/>
      <c r="P278" s="45"/>
      <c r="R278" s="45"/>
      <c r="T278" s="45"/>
      <c r="V278" s="45"/>
    </row>
    <row r="279">
      <c r="A279" s="32"/>
      <c r="B279" s="216" t="s">
        <v>18</v>
      </c>
      <c r="C279" s="266">
        <f>parallel_no_simd!O30</f>
        <v>495.3789</v>
      </c>
      <c r="D279" s="283">
        <f t="shared" si="107"/>
        <v>169.6203</v>
      </c>
      <c r="E279" s="270">
        <f>parallel_no_simd!O71</f>
        <v>198.8585</v>
      </c>
      <c r="F279" s="283">
        <f t="shared" si="108"/>
        <v>165.9643</v>
      </c>
      <c r="G279" s="266">
        <f>parallel_no_simd!O112</f>
        <v>180.1066</v>
      </c>
      <c r="H279" s="283">
        <f t="shared" si="109"/>
        <v>150.5448</v>
      </c>
      <c r="I279" s="263">
        <f>parallel_no_simd!O153</f>
        <v>273.9738</v>
      </c>
      <c r="J279" s="284">
        <f t="shared" si="110"/>
        <v>292.4856</v>
      </c>
      <c r="K279" s="266">
        <f>parallel_no_simd!O194</f>
        <v>485.9319</v>
      </c>
      <c r="L279" s="267">
        <f t="shared" si="111"/>
        <v>227.0617</v>
      </c>
      <c r="O279" s="41"/>
      <c r="P279" s="45"/>
      <c r="R279" s="45"/>
      <c r="T279" s="45"/>
      <c r="V279" s="45"/>
    </row>
    <row r="280">
      <c r="A280" s="25" t="s">
        <v>19</v>
      </c>
      <c r="B280" s="213" t="s">
        <v>17</v>
      </c>
      <c r="C280" s="266">
        <f>parallel_no_simd!O31</f>
        <v>989</v>
      </c>
      <c r="D280" s="283">
        <f t="shared" si="107"/>
        <v>363</v>
      </c>
      <c r="E280" s="270">
        <f>parallel_no_simd!O72</f>
        <v>401</v>
      </c>
      <c r="F280" s="283">
        <f t="shared" si="108"/>
        <v>352</v>
      </c>
      <c r="G280" s="266">
        <f>parallel_no_simd!O113</f>
        <v>350</v>
      </c>
      <c r="H280" s="283">
        <f t="shared" si="109"/>
        <v>281</v>
      </c>
      <c r="I280" s="266">
        <f>parallel_no_simd!O154</f>
        <v>627</v>
      </c>
      <c r="J280" s="283">
        <f t="shared" si="110"/>
        <v>535</v>
      </c>
      <c r="K280" s="266">
        <f>parallel_no_simd!O195</f>
        <v>981</v>
      </c>
      <c r="L280" s="267">
        <f t="shared" si="111"/>
        <v>380</v>
      </c>
      <c r="O280" s="41"/>
      <c r="P280" s="45"/>
      <c r="R280" s="45"/>
      <c r="T280" s="45"/>
      <c r="V280" s="45"/>
    </row>
    <row r="281">
      <c r="A281" s="32"/>
      <c r="B281" s="216" t="s">
        <v>18</v>
      </c>
      <c r="C281" s="266">
        <f>parallel_no_simd!O32</f>
        <v>980.9307</v>
      </c>
      <c r="D281" s="283">
        <f t="shared" si="107"/>
        <v>367.597</v>
      </c>
      <c r="E281" s="270">
        <f>parallel_no_simd!O73</f>
        <v>408.707</v>
      </c>
      <c r="F281" s="283">
        <f t="shared" si="108"/>
        <v>353.2069</v>
      </c>
      <c r="G281" s="266">
        <f>parallel_no_simd!O114</f>
        <v>347.3366</v>
      </c>
      <c r="H281" s="283">
        <f t="shared" si="109"/>
        <v>278.8201</v>
      </c>
      <c r="I281" s="266">
        <f>parallel_no_simd!O155</f>
        <v>630.475</v>
      </c>
      <c r="J281" s="283">
        <f t="shared" si="110"/>
        <v>537.1655</v>
      </c>
      <c r="K281" s="266">
        <f>parallel_no_simd!O196</f>
        <v>983.7649</v>
      </c>
      <c r="L281" s="267">
        <f t="shared" si="111"/>
        <v>383.9207</v>
      </c>
      <c r="O281" s="41"/>
      <c r="P281" s="45"/>
      <c r="R281" s="45"/>
      <c r="T281" s="45"/>
      <c r="V281" s="45"/>
    </row>
    <row r="282">
      <c r="A282" s="25" t="s">
        <v>20</v>
      </c>
      <c r="B282" s="213" t="s">
        <v>17</v>
      </c>
      <c r="C282" s="266">
        <f>parallel_no_simd!O33</f>
        <v>1798</v>
      </c>
      <c r="D282" s="283">
        <f t="shared" si="107"/>
        <v>663</v>
      </c>
      <c r="E282" s="263">
        <f>parallel_no_simd!O74</f>
        <v>735</v>
      </c>
      <c r="F282" s="284">
        <f t="shared" si="108"/>
        <v>765</v>
      </c>
      <c r="G282" s="266">
        <f>parallel_no_simd!O115</f>
        <v>1130</v>
      </c>
      <c r="H282" s="283">
        <f t="shared" si="109"/>
        <v>606</v>
      </c>
      <c r="I282" s="266">
        <f>parallel_no_simd!O156</f>
        <v>2111</v>
      </c>
      <c r="J282" s="283">
        <f t="shared" si="110"/>
        <v>865</v>
      </c>
      <c r="K282" s="266">
        <f>parallel_no_simd!O197</f>
        <v>2016</v>
      </c>
      <c r="L282" s="267">
        <f t="shared" si="111"/>
        <v>1134</v>
      </c>
      <c r="O282" s="41"/>
      <c r="P282" s="45"/>
      <c r="R282" s="45"/>
      <c r="T282" s="45"/>
      <c r="V282" s="45"/>
    </row>
    <row r="283">
      <c r="A283" s="32"/>
      <c r="B283" s="216" t="s">
        <v>18</v>
      </c>
      <c r="C283" s="266">
        <f>parallel_no_simd!O34</f>
        <v>1798.815</v>
      </c>
      <c r="D283" s="283">
        <f t="shared" si="107"/>
        <v>669.8646</v>
      </c>
      <c r="E283" s="263">
        <f>parallel_no_simd!O75</f>
        <v>737.5002</v>
      </c>
      <c r="F283" s="284">
        <f t="shared" si="108"/>
        <v>765.174</v>
      </c>
      <c r="G283" s="266">
        <f>parallel_no_simd!O116</f>
        <v>1137.255</v>
      </c>
      <c r="H283" s="283">
        <f t="shared" si="109"/>
        <v>612.1218</v>
      </c>
      <c r="I283" s="266">
        <f>parallel_no_simd!O157</f>
        <v>2116.572</v>
      </c>
      <c r="J283" s="283">
        <f t="shared" si="110"/>
        <v>861.2662</v>
      </c>
      <c r="K283" s="266">
        <f>parallel_no_simd!O198</f>
        <v>2021.002</v>
      </c>
      <c r="L283" s="267">
        <f t="shared" si="111"/>
        <v>1132.588</v>
      </c>
      <c r="O283" s="41"/>
      <c r="P283" s="45"/>
      <c r="R283" s="45"/>
      <c r="T283" s="45"/>
      <c r="V283" s="45"/>
    </row>
    <row r="284">
      <c r="A284" s="25" t="s">
        <v>21</v>
      </c>
      <c r="B284" s="213" t="s">
        <v>17</v>
      </c>
      <c r="C284" s="266">
        <f>parallel_no_simd!O35</f>
        <v>3671</v>
      </c>
      <c r="D284" s="283">
        <f t="shared" si="107"/>
        <v>1301</v>
      </c>
      <c r="E284" s="263">
        <f>parallel_no_simd!O76</f>
        <v>1292</v>
      </c>
      <c r="F284" s="284">
        <f t="shared" si="108"/>
        <v>1309</v>
      </c>
      <c r="G284" s="266">
        <f>parallel_no_simd!O117</f>
        <v>1933</v>
      </c>
      <c r="H284" s="283">
        <f t="shared" si="109"/>
        <v>974</v>
      </c>
      <c r="I284" s="266">
        <f>parallel_no_simd!O158</f>
        <v>3912</v>
      </c>
      <c r="J284" s="283">
        <f t="shared" si="110"/>
        <v>2563</v>
      </c>
      <c r="K284" s="266">
        <f>parallel_no_simd!O199</f>
        <v>4121</v>
      </c>
      <c r="L284" s="267">
        <f t="shared" si="111"/>
        <v>3155</v>
      </c>
      <c r="O284" s="41"/>
      <c r="P284" s="45"/>
      <c r="R284" s="45"/>
      <c r="T284" s="45"/>
      <c r="V284" s="45"/>
    </row>
    <row r="285">
      <c r="A285" s="32"/>
      <c r="B285" s="216" t="s">
        <v>18</v>
      </c>
      <c r="C285" s="266">
        <f>parallel_no_simd!O36</f>
        <v>3683.267</v>
      </c>
      <c r="D285" s="283">
        <f t="shared" si="107"/>
        <v>1293.228</v>
      </c>
      <c r="E285" s="263">
        <f>parallel_no_simd!O77</f>
        <v>1302.12</v>
      </c>
      <c r="F285" s="284">
        <f t="shared" si="108"/>
        <v>1309.171</v>
      </c>
      <c r="G285" s="266">
        <f>parallel_no_simd!O118</f>
        <v>1929.073</v>
      </c>
      <c r="H285" s="283">
        <f t="shared" si="109"/>
        <v>972.2746</v>
      </c>
      <c r="I285" s="266">
        <f>parallel_no_simd!O159</f>
        <v>3924.147</v>
      </c>
      <c r="J285" s="283">
        <f t="shared" si="110"/>
        <v>2576.732</v>
      </c>
      <c r="K285" s="266">
        <f>parallel_no_simd!O200</f>
        <v>4129.802</v>
      </c>
      <c r="L285" s="267">
        <f t="shared" si="111"/>
        <v>3158.849</v>
      </c>
      <c r="O285" s="41"/>
      <c r="P285" s="45"/>
      <c r="R285" s="45"/>
      <c r="T285" s="45"/>
      <c r="V285" s="45"/>
    </row>
    <row r="286">
      <c r="A286" s="25" t="s">
        <v>22</v>
      </c>
      <c r="B286" s="213" t="s">
        <v>17</v>
      </c>
      <c r="C286" s="266">
        <f>parallel_no_simd!O37</f>
        <v>6534</v>
      </c>
      <c r="D286" s="283">
        <f t="shared" si="107"/>
        <v>2255</v>
      </c>
      <c r="E286" s="263">
        <f>parallel_no_simd!O78</f>
        <v>2248</v>
      </c>
      <c r="F286" s="284">
        <f t="shared" si="108"/>
        <v>4930</v>
      </c>
      <c r="G286" s="266">
        <f>parallel_no_simd!O119</f>
        <v>3512</v>
      </c>
      <c r="H286" s="283">
        <f t="shared" si="109"/>
        <v>1742</v>
      </c>
      <c r="I286" s="266">
        <f>parallel_no_simd!O160</f>
        <v>7855</v>
      </c>
      <c r="J286" s="283">
        <f t="shared" si="110"/>
        <v>6944</v>
      </c>
      <c r="K286" s="266">
        <f>parallel_no_simd!O201</f>
        <v>6682</v>
      </c>
      <c r="L286" s="267">
        <f t="shared" si="111"/>
        <v>6136</v>
      </c>
      <c r="O286" s="41"/>
      <c r="P286" s="45"/>
      <c r="R286" s="45"/>
      <c r="T286" s="45"/>
      <c r="V286" s="45"/>
    </row>
    <row r="287">
      <c r="A287" s="32"/>
      <c r="B287" s="272" t="s">
        <v>18</v>
      </c>
      <c r="C287" s="275">
        <f>parallel_no_simd!O38</f>
        <v>6551.813</v>
      </c>
      <c r="D287" s="285">
        <f t="shared" si="107"/>
        <v>2259.269</v>
      </c>
      <c r="E287" s="276">
        <f>parallel_no_simd!O79</f>
        <v>2262.799</v>
      </c>
      <c r="F287" s="286">
        <f t="shared" si="108"/>
        <v>4952.141</v>
      </c>
      <c r="G287" s="275">
        <f>parallel_no_simd!O120</f>
        <v>3518.874</v>
      </c>
      <c r="H287" s="285">
        <f t="shared" si="109"/>
        <v>1746.933</v>
      </c>
      <c r="I287" s="275">
        <f>parallel_no_simd!O161</f>
        <v>7882.44</v>
      </c>
      <c r="J287" s="285">
        <f t="shared" si="110"/>
        <v>6960.507</v>
      </c>
      <c r="K287" s="275">
        <f>parallel_no_simd!O202</f>
        <v>6698.115</v>
      </c>
      <c r="L287" s="274">
        <f t="shared" si="111"/>
        <v>6155.191</v>
      </c>
      <c r="O287" s="41"/>
      <c r="P287" s="45"/>
      <c r="R287" s="45"/>
      <c r="T287" s="45"/>
      <c r="V287" s="45"/>
    </row>
    <row r="288">
      <c r="O288" s="41"/>
      <c r="P288" s="45"/>
      <c r="R288" s="45"/>
      <c r="T288" s="45"/>
      <c r="V288" s="45"/>
    </row>
    <row r="289">
      <c r="O289" s="41"/>
      <c r="P289" s="45"/>
      <c r="R289" s="45"/>
      <c r="T289" s="45"/>
      <c r="V289" s="45"/>
    </row>
    <row r="290">
      <c r="O290" s="41"/>
      <c r="P290" s="45"/>
      <c r="R290" s="45"/>
      <c r="T290" s="45"/>
      <c r="V290" s="45"/>
    </row>
    <row r="291">
      <c r="A291" s="1" t="s">
        <v>51</v>
      </c>
      <c r="B291" s="2"/>
      <c r="C291" s="2"/>
      <c r="D291" s="2"/>
      <c r="E291" s="2"/>
      <c r="F291" s="3"/>
      <c r="O291" s="41"/>
      <c r="P291" s="45"/>
      <c r="R291" s="45"/>
      <c r="T291" s="45"/>
      <c r="V291" s="45"/>
    </row>
    <row r="292">
      <c r="A292" s="4" t="s">
        <v>1</v>
      </c>
      <c r="B292" s="4" t="s">
        <v>2</v>
      </c>
      <c r="C292" s="7" t="s">
        <v>52</v>
      </c>
      <c r="D292" s="7" t="s">
        <v>53</v>
      </c>
      <c r="E292" s="160" t="s">
        <v>54</v>
      </c>
      <c r="F292" s="7" t="s">
        <v>44</v>
      </c>
      <c r="O292" s="41"/>
      <c r="P292" s="45"/>
      <c r="R292" s="45"/>
      <c r="T292" s="45"/>
      <c r="V292" s="45"/>
    </row>
    <row r="293">
      <c r="A293" s="25" t="s">
        <v>16</v>
      </c>
      <c r="B293" s="213" t="s">
        <v>17</v>
      </c>
      <c r="C293" s="288">
        <f t="shared" ref="C293:C302" si="112">H208</f>
        <v>224</v>
      </c>
      <c r="D293" s="289">
        <f t="shared" ref="D293:D302" si="113">H221</f>
        <v>131</v>
      </c>
      <c r="E293" s="30">
        <f t="shared" ref="E293:E302" si="114">H234</f>
        <v>151</v>
      </c>
      <c r="F293" s="290">
        <f t="shared" ref="F293:F302" si="115">MIN(C293:E293)</f>
        <v>131</v>
      </c>
      <c r="O293" s="41"/>
      <c r="P293" s="45"/>
      <c r="R293" s="45"/>
      <c r="T293" s="45"/>
      <c r="V293" s="45"/>
    </row>
    <row r="294">
      <c r="A294" s="32"/>
      <c r="B294" s="291" t="s">
        <v>18</v>
      </c>
      <c r="C294" s="29">
        <f t="shared" si="112"/>
        <v>315.0863</v>
      </c>
      <c r="D294" s="188">
        <f t="shared" si="113"/>
        <v>124.4472</v>
      </c>
      <c r="E294" s="30">
        <f t="shared" si="114"/>
        <v>150.5448</v>
      </c>
      <c r="F294" s="237">
        <f t="shared" si="115"/>
        <v>124.4472</v>
      </c>
      <c r="O294" s="41"/>
      <c r="P294" s="45"/>
      <c r="R294" s="45"/>
      <c r="T294" s="45"/>
      <c r="V294" s="45"/>
    </row>
    <row r="295">
      <c r="A295" s="25" t="s">
        <v>19</v>
      </c>
      <c r="B295" s="213" t="s">
        <v>17</v>
      </c>
      <c r="C295" s="29">
        <f t="shared" si="112"/>
        <v>425</v>
      </c>
      <c r="D295" s="188">
        <f t="shared" si="113"/>
        <v>240</v>
      </c>
      <c r="E295" s="30">
        <f t="shared" si="114"/>
        <v>281</v>
      </c>
      <c r="F295" s="237">
        <f t="shared" si="115"/>
        <v>240</v>
      </c>
      <c r="O295" s="41"/>
      <c r="P295" s="45"/>
      <c r="R295" s="45"/>
      <c r="T295" s="45"/>
      <c r="V295" s="45"/>
    </row>
    <row r="296">
      <c r="A296" s="32"/>
      <c r="B296" s="216" t="s">
        <v>18</v>
      </c>
      <c r="C296" s="29">
        <f t="shared" si="112"/>
        <v>457.4838</v>
      </c>
      <c r="D296" s="188">
        <f t="shared" si="113"/>
        <v>235.9917</v>
      </c>
      <c r="E296" s="30">
        <f t="shared" si="114"/>
        <v>278.8201</v>
      </c>
      <c r="F296" s="237">
        <f t="shared" si="115"/>
        <v>235.9917</v>
      </c>
      <c r="O296" s="41"/>
      <c r="P296" s="45"/>
      <c r="R296" s="45"/>
      <c r="T296" s="45"/>
      <c r="V296" s="45"/>
    </row>
    <row r="297">
      <c r="A297" s="25" t="s">
        <v>20</v>
      </c>
      <c r="B297" s="213" t="s">
        <v>17</v>
      </c>
      <c r="C297" s="29">
        <f t="shared" si="112"/>
        <v>776</v>
      </c>
      <c r="D297" s="188">
        <f t="shared" si="113"/>
        <v>450</v>
      </c>
      <c r="E297" s="30">
        <f t="shared" si="114"/>
        <v>606</v>
      </c>
      <c r="F297" s="237">
        <f t="shared" si="115"/>
        <v>450</v>
      </c>
      <c r="O297" s="41"/>
      <c r="P297" s="45"/>
      <c r="R297" s="45"/>
      <c r="T297" s="45"/>
      <c r="V297" s="45"/>
    </row>
    <row r="298">
      <c r="A298" s="32"/>
      <c r="B298" s="216" t="s">
        <v>18</v>
      </c>
      <c r="C298" s="29">
        <f t="shared" si="112"/>
        <v>990.0816</v>
      </c>
      <c r="D298" s="188">
        <f t="shared" si="113"/>
        <v>441.1603</v>
      </c>
      <c r="E298" s="30">
        <f t="shared" si="114"/>
        <v>612.1218</v>
      </c>
      <c r="F298" s="237">
        <f t="shared" si="115"/>
        <v>441.1603</v>
      </c>
      <c r="O298" s="41"/>
      <c r="P298" s="45"/>
      <c r="R298" s="45"/>
      <c r="T298" s="45"/>
      <c r="V298" s="45"/>
    </row>
    <row r="299">
      <c r="A299" s="25" t="s">
        <v>21</v>
      </c>
      <c r="B299" s="213" t="s">
        <v>17</v>
      </c>
      <c r="C299" s="29">
        <f t="shared" si="112"/>
        <v>1746</v>
      </c>
      <c r="D299" s="188">
        <f t="shared" si="113"/>
        <v>889</v>
      </c>
      <c r="E299" s="30">
        <f t="shared" si="114"/>
        <v>974</v>
      </c>
      <c r="F299" s="237">
        <f t="shared" si="115"/>
        <v>889</v>
      </c>
      <c r="O299" s="41"/>
      <c r="P299" s="45"/>
      <c r="R299" s="45"/>
      <c r="T299" s="45"/>
      <c r="V299" s="45"/>
    </row>
    <row r="300">
      <c r="A300" s="32"/>
      <c r="B300" s="216" t="s">
        <v>18</v>
      </c>
      <c r="C300" s="29">
        <f t="shared" si="112"/>
        <v>2412.371</v>
      </c>
      <c r="D300" s="188">
        <f t="shared" si="113"/>
        <v>883.2338</v>
      </c>
      <c r="E300" s="30">
        <f t="shared" si="114"/>
        <v>972.2746</v>
      </c>
      <c r="F300" s="237">
        <f t="shared" si="115"/>
        <v>883.2338</v>
      </c>
      <c r="O300" s="41"/>
      <c r="P300" s="45"/>
      <c r="R300" s="45"/>
      <c r="T300" s="45"/>
      <c r="V300" s="45"/>
    </row>
    <row r="301">
      <c r="A301" s="25" t="s">
        <v>22</v>
      </c>
      <c r="B301" s="213" t="s">
        <v>17</v>
      </c>
      <c r="C301" s="29">
        <f t="shared" si="112"/>
        <v>3088</v>
      </c>
      <c r="D301" s="292">
        <f t="shared" si="113"/>
        <v>2280</v>
      </c>
      <c r="E301" s="188">
        <f t="shared" si="114"/>
        <v>1742</v>
      </c>
      <c r="F301" s="237">
        <f t="shared" si="115"/>
        <v>1742</v>
      </c>
      <c r="O301" s="41"/>
      <c r="P301" s="45"/>
      <c r="R301" s="45"/>
      <c r="T301" s="45"/>
      <c r="V301" s="45"/>
    </row>
    <row r="302">
      <c r="A302" s="32"/>
      <c r="B302" s="272" t="s">
        <v>18</v>
      </c>
      <c r="C302" s="293">
        <f t="shared" si="112"/>
        <v>3972.927</v>
      </c>
      <c r="D302" s="294">
        <f t="shared" si="113"/>
        <v>2280.23</v>
      </c>
      <c r="E302" s="295">
        <f t="shared" si="114"/>
        <v>1746.933</v>
      </c>
      <c r="F302" s="296">
        <f t="shared" si="115"/>
        <v>1746.933</v>
      </c>
      <c r="O302" s="41"/>
      <c r="P302" s="45"/>
      <c r="R302" s="45"/>
      <c r="T302" s="45"/>
      <c r="V302" s="45"/>
    </row>
    <row r="303">
      <c r="O303" s="41"/>
      <c r="P303" s="45"/>
      <c r="R303" s="45"/>
      <c r="T303" s="45"/>
      <c r="V303" s="45"/>
    </row>
    <row r="304">
      <c r="O304" s="41"/>
      <c r="P304" s="45"/>
      <c r="R304" s="45"/>
      <c r="T304" s="45"/>
      <c r="V304" s="45"/>
    </row>
    <row r="305">
      <c r="O305" s="41"/>
      <c r="P305" s="45"/>
      <c r="R305" s="45"/>
      <c r="T305" s="45"/>
      <c r="V305" s="45"/>
    </row>
    <row r="306">
      <c r="O306" s="41"/>
      <c r="P306" s="45"/>
      <c r="R306" s="45"/>
      <c r="T306" s="45"/>
      <c r="V306" s="45"/>
    </row>
    <row r="307">
      <c r="O307" s="41"/>
      <c r="P307" s="45"/>
      <c r="R307" s="45"/>
      <c r="T307" s="45"/>
      <c r="V307" s="45"/>
    </row>
    <row r="308">
      <c r="O308" s="41"/>
      <c r="P308" s="45"/>
      <c r="R308" s="45"/>
      <c r="T308" s="45"/>
      <c r="V308" s="45"/>
    </row>
    <row r="309">
      <c r="O309" s="41"/>
      <c r="P309" s="45"/>
      <c r="R309" s="45"/>
      <c r="T309" s="45"/>
      <c r="V309" s="45"/>
    </row>
    <row r="310">
      <c r="O310" s="41"/>
      <c r="P310" s="45"/>
      <c r="R310" s="45"/>
      <c r="T310" s="45"/>
      <c r="V310" s="45"/>
    </row>
    <row r="311">
      <c r="O311" s="41"/>
      <c r="P311" s="45"/>
      <c r="R311" s="45"/>
      <c r="T311" s="45"/>
      <c r="V311" s="45"/>
    </row>
    <row r="312">
      <c r="O312" s="41"/>
      <c r="P312" s="45"/>
      <c r="R312" s="45"/>
      <c r="T312" s="45"/>
      <c r="V312" s="45"/>
    </row>
    <row r="313">
      <c r="O313" s="41"/>
      <c r="P313" s="45"/>
      <c r="R313" s="45"/>
      <c r="T313" s="45"/>
      <c r="V313" s="45"/>
    </row>
    <row r="314">
      <c r="O314" s="41"/>
      <c r="P314" s="45"/>
      <c r="R314" s="45"/>
      <c r="T314" s="45"/>
      <c r="V314" s="45"/>
    </row>
    <row r="315">
      <c r="O315" s="41"/>
      <c r="P315" s="45"/>
      <c r="R315" s="45"/>
      <c r="T315" s="45"/>
      <c r="V315" s="45"/>
    </row>
    <row r="316">
      <c r="O316" s="41"/>
      <c r="P316" s="45"/>
      <c r="R316" s="45"/>
      <c r="T316" s="45"/>
      <c r="V316" s="45"/>
    </row>
    <row r="317">
      <c r="O317" s="41"/>
      <c r="P317" s="45"/>
      <c r="R317" s="45"/>
      <c r="T317" s="45"/>
      <c r="V317" s="45"/>
    </row>
    <row r="318">
      <c r="O318" s="41"/>
      <c r="P318" s="45"/>
      <c r="R318" s="45"/>
      <c r="T318" s="45"/>
      <c r="V318" s="45"/>
    </row>
    <row r="319">
      <c r="O319" s="41"/>
      <c r="P319" s="45"/>
      <c r="R319" s="45"/>
      <c r="T319" s="45"/>
      <c r="V319" s="45"/>
    </row>
    <row r="320">
      <c r="O320" s="41"/>
      <c r="P320" s="45"/>
      <c r="R320" s="45"/>
      <c r="T320" s="45"/>
      <c r="V320" s="45"/>
    </row>
    <row r="321">
      <c r="O321" s="41"/>
      <c r="P321" s="45"/>
      <c r="R321" s="45"/>
      <c r="T321" s="45"/>
      <c r="V321" s="45"/>
    </row>
    <row r="322">
      <c r="O322" s="41"/>
      <c r="P322" s="45"/>
      <c r="R322" s="45"/>
      <c r="T322" s="45"/>
      <c r="V322" s="45"/>
    </row>
    <row r="323">
      <c r="O323" s="41"/>
      <c r="P323" s="45"/>
      <c r="R323" s="45"/>
      <c r="T323" s="45"/>
      <c r="V323" s="45"/>
    </row>
    <row r="324">
      <c r="O324" s="41"/>
      <c r="P324" s="45"/>
      <c r="R324" s="45"/>
      <c r="T324" s="45"/>
      <c r="V324" s="45"/>
    </row>
    <row r="325">
      <c r="O325" s="41"/>
      <c r="P325" s="45"/>
      <c r="R325" s="45"/>
      <c r="T325" s="45"/>
      <c r="V325" s="45"/>
    </row>
    <row r="326">
      <c r="O326" s="41"/>
      <c r="P326" s="45"/>
      <c r="R326" s="45"/>
      <c r="T326" s="45"/>
      <c r="V326" s="45"/>
    </row>
    <row r="327">
      <c r="O327" s="41"/>
      <c r="P327" s="45"/>
      <c r="R327" s="45"/>
      <c r="T327" s="45"/>
      <c r="V327" s="45"/>
    </row>
    <row r="328">
      <c r="O328" s="41"/>
      <c r="P328" s="45"/>
      <c r="R328" s="45"/>
      <c r="T328" s="45"/>
      <c r="V328" s="45"/>
    </row>
    <row r="329">
      <c r="O329" s="41"/>
      <c r="P329" s="45"/>
      <c r="R329" s="45"/>
      <c r="T329" s="45"/>
      <c r="V329" s="45"/>
    </row>
    <row r="330">
      <c r="O330" s="41"/>
      <c r="P330" s="45"/>
      <c r="R330" s="45"/>
      <c r="T330" s="45"/>
      <c r="V330" s="45"/>
    </row>
    <row r="331">
      <c r="O331" s="41"/>
      <c r="P331" s="45"/>
      <c r="R331" s="45"/>
      <c r="T331" s="45"/>
      <c r="V331" s="45"/>
    </row>
    <row r="332">
      <c r="O332" s="41"/>
      <c r="P332" s="45"/>
      <c r="R332" s="45"/>
      <c r="T332" s="45"/>
      <c r="V332" s="45"/>
    </row>
    <row r="333">
      <c r="O333" s="41"/>
      <c r="P333" s="45"/>
      <c r="R333" s="45"/>
      <c r="T333" s="45"/>
      <c r="V333" s="45"/>
    </row>
    <row r="334">
      <c r="O334" s="41"/>
      <c r="P334" s="45"/>
      <c r="R334" s="45"/>
      <c r="T334" s="45"/>
      <c r="V334" s="45"/>
    </row>
    <row r="335">
      <c r="O335" s="41"/>
      <c r="P335" s="45"/>
      <c r="R335" s="45"/>
      <c r="T335" s="45"/>
      <c r="V335" s="45"/>
    </row>
    <row r="336">
      <c r="O336" s="41"/>
      <c r="P336" s="45"/>
      <c r="R336" s="45"/>
      <c r="T336" s="45"/>
      <c r="V336" s="45"/>
    </row>
    <row r="337">
      <c r="O337" s="41"/>
      <c r="P337" s="45"/>
      <c r="R337" s="45"/>
      <c r="T337" s="45"/>
      <c r="V337" s="45"/>
    </row>
    <row r="338">
      <c r="O338" s="41"/>
      <c r="P338" s="45"/>
      <c r="R338" s="45"/>
      <c r="T338" s="45"/>
      <c r="V338" s="45"/>
    </row>
    <row r="339">
      <c r="O339" s="41"/>
      <c r="P339" s="45"/>
      <c r="R339" s="45"/>
      <c r="T339" s="45"/>
      <c r="V339" s="45"/>
    </row>
    <row r="340">
      <c r="O340" s="41"/>
      <c r="P340" s="45"/>
      <c r="R340" s="45"/>
      <c r="T340" s="45"/>
      <c r="V340" s="45"/>
    </row>
    <row r="341">
      <c r="O341" s="41"/>
      <c r="P341" s="45"/>
      <c r="R341" s="45"/>
      <c r="T341" s="45"/>
      <c r="V341" s="45"/>
    </row>
    <row r="342">
      <c r="O342" s="41"/>
      <c r="P342" s="45"/>
      <c r="R342" s="45"/>
      <c r="T342" s="45"/>
      <c r="V342" s="45"/>
    </row>
    <row r="343">
      <c r="O343" s="41"/>
      <c r="P343" s="45"/>
      <c r="R343" s="45"/>
      <c r="T343" s="45"/>
      <c r="V343" s="45"/>
    </row>
    <row r="344">
      <c r="O344" s="41"/>
      <c r="P344" s="45"/>
      <c r="R344" s="45"/>
      <c r="T344" s="45"/>
      <c r="V344" s="45"/>
    </row>
    <row r="345">
      <c r="O345" s="41"/>
      <c r="P345" s="45"/>
      <c r="R345" s="45"/>
      <c r="T345" s="45"/>
      <c r="V345" s="45"/>
    </row>
    <row r="346">
      <c r="O346" s="41"/>
      <c r="P346" s="45"/>
      <c r="R346" s="45"/>
      <c r="T346" s="45"/>
      <c r="V346" s="45"/>
    </row>
    <row r="347">
      <c r="O347" s="41"/>
      <c r="P347" s="45"/>
      <c r="R347" s="45"/>
      <c r="T347" s="45"/>
      <c r="V347" s="45"/>
    </row>
    <row r="348">
      <c r="O348" s="41"/>
      <c r="P348" s="45"/>
      <c r="R348" s="45"/>
      <c r="T348" s="45"/>
      <c r="V348" s="45"/>
    </row>
    <row r="349">
      <c r="O349" s="41"/>
      <c r="P349" s="45"/>
      <c r="R349" s="45"/>
      <c r="T349" s="45"/>
      <c r="V349" s="45"/>
    </row>
    <row r="350">
      <c r="O350" s="41"/>
      <c r="P350" s="45"/>
      <c r="R350" s="45"/>
      <c r="T350" s="45"/>
      <c r="V350" s="45"/>
    </row>
    <row r="351">
      <c r="O351" s="41"/>
      <c r="P351" s="45"/>
      <c r="R351" s="45"/>
      <c r="T351" s="45"/>
      <c r="V351" s="45"/>
    </row>
    <row r="352">
      <c r="O352" s="41"/>
      <c r="P352" s="45"/>
      <c r="R352" s="45"/>
      <c r="T352" s="45"/>
      <c r="V352" s="45"/>
    </row>
    <row r="353">
      <c r="O353" s="41"/>
      <c r="P353" s="45"/>
      <c r="R353" s="45"/>
      <c r="T353" s="45"/>
      <c r="V353" s="45"/>
    </row>
    <row r="354">
      <c r="O354" s="41"/>
      <c r="P354" s="45"/>
      <c r="R354" s="45"/>
      <c r="T354" s="45"/>
      <c r="V354" s="45"/>
    </row>
    <row r="355">
      <c r="O355" s="41"/>
      <c r="P355" s="45"/>
      <c r="R355" s="45"/>
      <c r="T355" s="45"/>
      <c r="V355" s="45"/>
    </row>
    <row r="356">
      <c r="O356" s="41"/>
      <c r="P356" s="45"/>
      <c r="R356" s="45"/>
      <c r="T356" s="45"/>
      <c r="V356" s="45"/>
    </row>
    <row r="357">
      <c r="O357" s="41"/>
      <c r="P357" s="45"/>
      <c r="R357" s="45"/>
      <c r="T357" s="45"/>
      <c r="V357" s="45"/>
    </row>
    <row r="358">
      <c r="O358" s="41"/>
      <c r="P358" s="45"/>
      <c r="R358" s="45"/>
      <c r="T358" s="45"/>
      <c r="V358" s="45"/>
    </row>
    <row r="359">
      <c r="O359" s="41"/>
      <c r="P359" s="45"/>
      <c r="R359" s="45"/>
      <c r="T359" s="45"/>
      <c r="V359" s="45"/>
    </row>
    <row r="360">
      <c r="O360" s="41"/>
      <c r="P360" s="45"/>
      <c r="R360" s="45"/>
      <c r="T360" s="45"/>
      <c r="V360" s="45"/>
    </row>
    <row r="361">
      <c r="O361" s="41"/>
      <c r="P361" s="45"/>
      <c r="R361" s="45"/>
      <c r="T361" s="45"/>
      <c r="V361" s="45"/>
    </row>
    <row r="362">
      <c r="O362" s="41"/>
      <c r="P362" s="45"/>
      <c r="R362" s="45"/>
      <c r="T362" s="45"/>
      <c r="V362" s="45"/>
    </row>
    <row r="363">
      <c r="O363" s="41"/>
      <c r="P363" s="45"/>
      <c r="R363" s="45"/>
      <c r="T363" s="45"/>
      <c r="V363" s="45"/>
    </row>
    <row r="364">
      <c r="O364" s="41"/>
      <c r="P364" s="45"/>
      <c r="R364" s="45"/>
      <c r="T364" s="45"/>
      <c r="V364" s="45"/>
    </row>
    <row r="365">
      <c r="O365" s="41"/>
      <c r="P365" s="45"/>
      <c r="R365" s="45"/>
      <c r="T365" s="45"/>
      <c r="V365" s="45"/>
    </row>
    <row r="366">
      <c r="O366" s="41"/>
      <c r="P366" s="45"/>
      <c r="R366" s="45"/>
      <c r="T366" s="45"/>
      <c r="V366" s="45"/>
    </row>
    <row r="367">
      <c r="O367" s="41"/>
      <c r="P367" s="45"/>
      <c r="R367" s="45"/>
      <c r="T367" s="45"/>
      <c r="V367" s="45"/>
    </row>
    <row r="368">
      <c r="O368" s="41"/>
      <c r="P368" s="45"/>
      <c r="R368" s="45"/>
      <c r="T368" s="45"/>
      <c r="V368" s="45"/>
    </row>
    <row r="369">
      <c r="O369" s="41"/>
      <c r="P369" s="45"/>
      <c r="R369" s="45"/>
      <c r="T369" s="45"/>
      <c r="V369" s="45"/>
    </row>
    <row r="370">
      <c r="O370" s="41"/>
      <c r="P370" s="45"/>
      <c r="R370" s="45"/>
      <c r="T370" s="45"/>
      <c r="V370" s="45"/>
    </row>
    <row r="371">
      <c r="O371" s="41"/>
      <c r="P371" s="45"/>
      <c r="R371" s="45"/>
      <c r="T371" s="45"/>
      <c r="V371" s="45"/>
    </row>
    <row r="372">
      <c r="O372" s="41"/>
      <c r="P372" s="45"/>
      <c r="R372" s="45"/>
      <c r="T372" s="45"/>
      <c r="V372" s="45"/>
    </row>
    <row r="373">
      <c r="O373" s="41"/>
      <c r="P373" s="45"/>
      <c r="R373" s="45"/>
      <c r="T373" s="45"/>
      <c r="V373" s="45"/>
    </row>
    <row r="374">
      <c r="O374" s="41"/>
      <c r="P374" s="45"/>
      <c r="R374" s="45"/>
      <c r="T374" s="45"/>
      <c r="V374" s="45"/>
    </row>
    <row r="375">
      <c r="O375" s="41"/>
      <c r="P375" s="45"/>
      <c r="R375" s="45"/>
      <c r="T375" s="45"/>
      <c r="V375" s="45"/>
    </row>
    <row r="376">
      <c r="O376" s="41"/>
      <c r="P376" s="45"/>
      <c r="R376" s="45"/>
      <c r="T376" s="45"/>
      <c r="V376" s="45"/>
    </row>
    <row r="377">
      <c r="O377" s="41"/>
      <c r="P377" s="45"/>
      <c r="R377" s="45"/>
      <c r="T377" s="45"/>
      <c r="V377" s="45"/>
    </row>
    <row r="378">
      <c r="O378" s="41"/>
      <c r="P378" s="45"/>
      <c r="R378" s="45"/>
      <c r="T378" s="45"/>
      <c r="V378" s="45"/>
    </row>
    <row r="379">
      <c r="O379" s="41"/>
      <c r="P379" s="45"/>
      <c r="R379" s="45"/>
      <c r="T379" s="45"/>
      <c r="V379" s="45"/>
    </row>
    <row r="380">
      <c r="O380" s="41"/>
      <c r="P380" s="45"/>
      <c r="R380" s="45"/>
      <c r="T380" s="45"/>
      <c r="V380" s="45"/>
    </row>
    <row r="381">
      <c r="O381" s="41"/>
      <c r="P381" s="45"/>
      <c r="R381" s="45"/>
      <c r="T381" s="45"/>
      <c r="V381" s="45"/>
    </row>
    <row r="382">
      <c r="O382" s="41"/>
      <c r="P382" s="45"/>
      <c r="R382" s="45"/>
      <c r="T382" s="45"/>
      <c r="V382" s="45"/>
    </row>
    <row r="383">
      <c r="O383" s="41"/>
      <c r="P383" s="45"/>
      <c r="R383" s="45"/>
      <c r="T383" s="45"/>
      <c r="V383" s="45"/>
    </row>
    <row r="384">
      <c r="O384" s="41"/>
      <c r="P384" s="45"/>
      <c r="R384" s="45"/>
      <c r="T384" s="45"/>
      <c r="V384" s="45"/>
    </row>
    <row r="385">
      <c r="O385" s="41"/>
      <c r="P385" s="45"/>
      <c r="R385" s="45"/>
      <c r="T385" s="45"/>
      <c r="V385" s="45"/>
    </row>
    <row r="386">
      <c r="O386" s="41"/>
      <c r="P386" s="45"/>
      <c r="R386" s="45"/>
      <c r="T386" s="45"/>
      <c r="V386" s="45"/>
    </row>
    <row r="387">
      <c r="O387" s="41"/>
      <c r="P387" s="45"/>
      <c r="R387" s="45"/>
      <c r="T387" s="45"/>
      <c r="V387" s="45"/>
    </row>
    <row r="388">
      <c r="O388" s="41"/>
      <c r="P388" s="45"/>
      <c r="R388" s="45"/>
      <c r="T388" s="45"/>
      <c r="V388" s="45"/>
    </row>
    <row r="389">
      <c r="O389" s="41"/>
      <c r="P389" s="45"/>
      <c r="R389" s="45"/>
      <c r="T389" s="45"/>
      <c r="V389" s="45"/>
    </row>
    <row r="390">
      <c r="O390" s="41"/>
      <c r="P390" s="45"/>
      <c r="R390" s="45"/>
      <c r="T390" s="45"/>
      <c r="V390" s="45"/>
    </row>
    <row r="391">
      <c r="O391" s="41"/>
      <c r="P391" s="45"/>
      <c r="R391" s="45"/>
      <c r="T391" s="45"/>
      <c r="V391" s="45"/>
    </row>
    <row r="392">
      <c r="O392" s="41"/>
      <c r="P392" s="45"/>
      <c r="R392" s="45"/>
      <c r="T392" s="45"/>
      <c r="V392" s="45"/>
    </row>
    <row r="393">
      <c r="O393" s="41"/>
      <c r="P393" s="45"/>
      <c r="R393" s="45"/>
      <c r="T393" s="45"/>
      <c r="V393" s="45"/>
    </row>
    <row r="394">
      <c r="O394" s="41"/>
      <c r="P394" s="45"/>
      <c r="R394" s="45"/>
      <c r="T394" s="45"/>
      <c r="V394" s="45"/>
    </row>
    <row r="395">
      <c r="O395" s="41"/>
      <c r="P395" s="45"/>
      <c r="R395" s="45"/>
      <c r="T395" s="45"/>
      <c r="V395" s="45"/>
    </row>
    <row r="396">
      <c r="O396" s="41"/>
      <c r="P396" s="45"/>
      <c r="R396" s="45"/>
      <c r="T396" s="45"/>
      <c r="V396" s="45"/>
    </row>
    <row r="397">
      <c r="O397" s="41"/>
      <c r="P397" s="45"/>
      <c r="R397" s="45"/>
      <c r="T397" s="45"/>
      <c r="V397" s="45"/>
    </row>
    <row r="398">
      <c r="O398" s="41"/>
      <c r="P398" s="45"/>
      <c r="R398" s="45"/>
      <c r="T398" s="45"/>
      <c r="V398" s="45"/>
    </row>
    <row r="399">
      <c r="O399" s="41"/>
      <c r="P399" s="45"/>
      <c r="R399" s="45"/>
      <c r="T399" s="45"/>
      <c r="V399" s="45"/>
    </row>
    <row r="400">
      <c r="O400" s="41"/>
      <c r="P400" s="45"/>
      <c r="R400" s="45"/>
      <c r="T400" s="45"/>
      <c r="V400" s="45"/>
    </row>
    <row r="401">
      <c r="O401" s="41"/>
      <c r="P401" s="45"/>
      <c r="R401" s="45"/>
      <c r="T401" s="45"/>
      <c r="V401" s="45"/>
    </row>
    <row r="402">
      <c r="O402" s="41"/>
      <c r="P402" s="45"/>
      <c r="R402" s="45"/>
      <c r="T402" s="45"/>
      <c r="V402" s="45"/>
    </row>
    <row r="403">
      <c r="O403" s="41"/>
      <c r="P403" s="45"/>
      <c r="R403" s="45"/>
      <c r="T403" s="45"/>
      <c r="V403" s="45"/>
    </row>
    <row r="404">
      <c r="O404" s="41"/>
      <c r="P404" s="45"/>
      <c r="R404" s="45"/>
      <c r="T404" s="45"/>
      <c r="V404" s="45"/>
    </row>
    <row r="405">
      <c r="O405" s="41"/>
      <c r="P405" s="45"/>
      <c r="R405" s="45"/>
      <c r="T405" s="45"/>
      <c r="V405" s="45"/>
    </row>
    <row r="406">
      <c r="O406" s="41"/>
      <c r="P406" s="45"/>
      <c r="R406" s="45"/>
      <c r="T406" s="45"/>
      <c r="V406" s="45"/>
    </row>
    <row r="407">
      <c r="O407" s="41"/>
      <c r="P407" s="45"/>
      <c r="R407" s="45"/>
      <c r="T407" s="45"/>
      <c r="V407" s="45"/>
    </row>
    <row r="408">
      <c r="O408" s="41"/>
      <c r="P408" s="45"/>
      <c r="R408" s="45"/>
      <c r="T408" s="45"/>
      <c r="V408" s="45"/>
    </row>
    <row r="409">
      <c r="O409" s="41"/>
      <c r="P409" s="45"/>
      <c r="R409" s="45"/>
      <c r="T409" s="45"/>
      <c r="V409" s="45"/>
    </row>
    <row r="410">
      <c r="O410" s="41"/>
      <c r="P410" s="45"/>
      <c r="R410" s="45"/>
      <c r="T410" s="45"/>
      <c r="V410" s="45"/>
    </row>
    <row r="411">
      <c r="O411" s="41"/>
      <c r="P411" s="45"/>
      <c r="R411" s="45"/>
      <c r="T411" s="45"/>
      <c r="V411" s="45"/>
    </row>
    <row r="412">
      <c r="O412" s="41"/>
      <c r="P412" s="45"/>
      <c r="R412" s="45"/>
      <c r="T412" s="45"/>
      <c r="V412" s="45"/>
    </row>
    <row r="413">
      <c r="O413" s="41"/>
      <c r="P413" s="45"/>
      <c r="R413" s="45"/>
      <c r="T413" s="45"/>
      <c r="V413" s="45"/>
    </row>
    <row r="414">
      <c r="O414" s="41"/>
      <c r="P414" s="45"/>
      <c r="R414" s="45"/>
      <c r="T414" s="45"/>
      <c r="V414" s="45"/>
    </row>
    <row r="415">
      <c r="O415" s="41"/>
      <c r="P415" s="45"/>
      <c r="R415" s="45"/>
      <c r="T415" s="45"/>
      <c r="V415" s="45"/>
    </row>
    <row r="416">
      <c r="O416" s="41"/>
      <c r="P416" s="45"/>
      <c r="R416" s="45"/>
      <c r="T416" s="45"/>
      <c r="V416" s="45"/>
    </row>
    <row r="417">
      <c r="O417" s="41"/>
      <c r="P417" s="45"/>
      <c r="R417" s="45"/>
      <c r="T417" s="45"/>
      <c r="V417" s="45"/>
    </row>
    <row r="418">
      <c r="O418" s="41"/>
      <c r="P418" s="45"/>
      <c r="R418" s="45"/>
      <c r="T418" s="45"/>
      <c r="V418" s="45"/>
    </row>
    <row r="419">
      <c r="O419" s="41"/>
      <c r="P419" s="45"/>
      <c r="R419" s="45"/>
      <c r="T419" s="45"/>
      <c r="V419" s="45"/>
    </row>
    <row r="420">
      <c r="O420" s="41"/>
      <c r="P420" s="45"/>
      <c r="R420" s="45"/>
      <c r="T420" s="45"/>
      <c r="V420" s="45"/>
    </row>
    <row r="421">
      <c r="O421" s="41"/>
      <c r="P421" s="45"/>
      <c r="R421" s="45"/>
      <c r="T421" s="45"/>
      <c r="V421" s="45"/>
    </row>
    <row r="422">
      <c r="O422" s="41"/>
      <c r="P422" s="45"/>
      <c r="R422" s="45"/>
      <c r="T422" s="45"/>
      <c r="V422" s="45"/>
    </row>
    <row r="423">
      <c r="O423" s="41"/>
      <c r="P423" s="45"/>
      <c r="R423" s="45"/>
      <c r="T423" s="45"/>
      <c r="V423" s="45"/>
    </row>
    <row r="424">
      <c r="O424" s="41"/>
      <c r="P424" s="45"/>
      <c r="R424" s="45"/>
      <c r="T424" s="45"/>
      <c r="V424" s="45"/>
    </row>
    <row r="425">
      <c r="O425" s="41"/>
      <c r="P425" s="45"/>
      <c r="R425" s="45"/>
      <c r="T425" s="45"/>
      <c r="V425" s="45"/>
    </row>
    <row r="426">
      <c r="O426" s="41"/>
      <c r="P426" s="45"/>
      <c r="R426" s="45"/>
      <c r="T426" s="45"/>
      <c r="V426" s="45"/>
    </row>
    <row r="427">
      <c r="O427" s="41"/>
      <c r="P427" s="45"/>
      <c r="R427" s="45"/>
      <c r="T427" s="45"/>
      <c r="V427" s="45"/>
    </row>
    <row r="428">
      <c r="O428" s="41"/>
      <c r="P428" s="45"/>
      <c r="R428" s="45"/>
      <c r="T428" s="45"/>
      <c r="V428" s="45"/>
    </row>
    <row r="429">
      <c r="O429" s="41"/>
      <c r="P429" s="45"/>
      <c r="R429" s="45"/>
      <c r="T429" s="45"/>
      <c r="V429" s="45"/>
    </row>
    <row r="430">
      <c r="O430" s="41"/>
      <c r="P430" s="45"/>
      <c r="R430" s="45"/>
      <c r="T430" s="45"/>
      <c r="V430" s="45"/>
    </row>
    <row r="431">
      <c r="O431" s="41"/>
      <c r="P431" s="45"/>
      <c r="R431" s="45"/>
      <c r="T431" s="45"/>
      <c r="V431" s="45"/>
    </row>
    <row r="432">
      <c r="O432" s="41"/>
      <c r="P432" s="45"/>
      <c r="R432" s="45"/>
      <c r="T432" s="45"/>
      <c r="V432" s="45"/>
    </row>
    <row r="433">
      <c r="O433" s="41"/>
      <c r="P433" s="45"/>
      <c r="R433" s="45"/>
      <c r="T433" s="45"/>
      <c r="V433" s="45"/>
    </row>
    <row r="434">
      <c r="O434" s="41"/>
      <c r="P434" s="45"/>
      <c r="R434" s="45"/>
      <c r="T434" s="45"/>
      <c r="V434" s="45"/>
    </row>
    <row r="435">
      <c r="O435" s="41"/>
      <c r="P435" s="45"/>
      <c r="R435" s="45"/>
      <c r="T435" s="45"/>
      <c r="V435" s="45"/>
    </row>
    <row r="436">
      <c r="O436" s="41"/>
      <c r="P436" s="45"/>
      <c r="R436" s="45"/>
      <c r="T436" s="45"/>
      <c r="V436" s="45"/>
    </row>
    <row r="437">
      <c r="O437" s="41"/>
      <c r="P437" s="45"/>
      <c r="R437" s="45"/>
      <c r="T437" s="45"/>
      <c r="V437" s="45"/>
    </row>
    <row r="438">
      <c r="O438" s="41"/>
      <c r="P438" s="45"/>
      <c r="R438" s="45"/>
      <c r="T438" s="45"/>
      <c r="V438" s="45"/>
    </row>
    <row r="439">
      <c r="O439" s="41"/>
      <c r="P439" s="45"/>
      <c r="R439" s="45"/>
      <c r="T439" s="45"/>
      <c r="V439" s="45"/>
    </row>
    <row r="440">
      <c r="O440" s="41"/>
      <c r="P440" s="45"/>
      <c r="R440" s="45"/>
      <c r="T440" s="45"/>
      <c r="V440" s="45"/>
    </row>
    <row r="441">
      <c r="O441" s="41"/>
      <c r="P441" s="45"/>
      <c r="R441" s="45"/>
      <c r="T441" s="45"/>
      <c r="V441" s="45"/>
    </row>
    <row r="442">
      <c r="O442" s="41"/>
      <c r="P442" s="45"/>
      <c r="R442" s="45"/>
      <c r="T442" s="45"/>
      <c r="V442" s="45"/>
    </row>
    <row r="443">
      <c r="O443" s="41"/>
      <c r="P443" s="45"/>
      <c r="R443" s="45"/>
      <c r="T443" s="45"/>
      <c r="V443" s="45"/>
    </row>
    <row r="444">
      <c r="O444" s="41"/>
      <c r="P444" s="45"/>
      <c r="R444" s="45"/>
      <c r="T444" s="45"/>
      <c r="V444" s="45"/>
    </row>
    <row r="445">
      <c r="O445" s="41"/>
      <c r="P445" s="45"/>
      <c r="R445" s="45"/>
      <c r="T445" s="45"/>
      <c r="V445" s="45"/>
    </row>
    <row r="446">
      <c r="O446" s="41"/>
      <c r="P446" s="45"/>
      <c r="R446" s="45"/>
      <c r="T446" s="45"/>
      <c r="V446" s="45"/>
    </row>
    <row r="447">
      <c r="O447" s="41"/>
      <c r="P447" s="45"/>
      <c r="R447" s="45"/>
      <c r="T447" s="45"/>
      <c r="V447" s="45"/>
    </row>
    <row r="448">
      <c r="O448" s="41"/>
      <c r="P448" s="45"/>
      <c r="R448" s="45"/>
      <c r="T448" s="45"/>
      <c r="V448" s="45"/>
    </row>
    <row r="449">
      <c r="O449" s="41"/>
      <c r="P449" s="45"/>
      <c r="R449" s="45"/>
      <c r="T449" s="45"/>
      <c r="V449" s="45"/>
    </row>
    <row r="450">
      <c r="O450" s="41"/>
      <c r="P450" s="45"/>
      <c r="R450" s="45"/>
      <c r="T450" s="45"/>
      <c r="V450" s="45"/>
    </row>
    <row r="451">
      <c r="O451" s="41"/>
      <c r="P451" s="45"/>
      <c r="R451" s="45"/>
      <c r="T451" s="45"/>
      <c r="V451" s="45"/>
    </row>
    <row r="452">
      <c r="O452" s="41"/>
      <c r="P452" s="45"/>
      <c r="R452" s="45"/>
      <c r="T452" s="45"/>
      <c r="V452" s="45"/>
    </row>
    <row r="453">
      <c r="O453" s="41"/>
      <c r="P453" s="45"/>
      <c r="R453" s="45"/>
      <c r="T453" s="45"/>
      <c r="V453" s="45"/>
    </row>
    <row r="454">
      <c r="O454" s="41"/>
      <c r="P454" s="45"/>
      <c r="R454" s="45"/>
      <c r="T454" s="45"/>
      <c r="V454" s="45"/>
    </row>
    <row r="455">
      <c r="O455" s="41"/>
      <c r="P455" s="45"/>
      <c r="R455" s="45"/>
      <c r="T455" s="45"/>
      <c r="V455" s="45"/>
    </row>
    <row r="456">
      <c r="O456" s="41"/>
      <c r="P456" s="45"/>
      <c r="R456" s="45"/>
      <c r="T456" s="45"/>
      <c r="V456" s="45"/>
    </row>
    <row r="457">
      <c r="O457" s="41"/>
      <c r="P457" s="45"/>
      <c r="R457" s="45"/>
      <c r="T457" s="45"/>
      <c r="V457" s="45"/>
    </row>
    <row r="458">
      <c r="O458" s="41"/>
      <c r="P458" s="45"/>
      <c r="R458" s="45"/>
      <c r="T458" s="45"/>
      <c r="V458" s="45"/>
    </row>
    <row r="459">
      <c r="O459" s="41"/>
      <c r="P459" s="45"/>
      <c r="R459" s="45"/>
      <c r="T459" s="45"/>
      <c r="V459" s="45"/>
    </row>
    <row r="460">
      <c r="O460" s="41"/>
      <c r="P460" s="45"/>
      <c r="R460" s="45"/>
      <c r="T460" s="45"/>
      <c r="V460" s="45"/>
    </row>
    <row r="461">
      <c r="O461" s="41"/>
      <c r="P461" s="45"/>
      <c r="R461" s="45"/>
      <c r="T461" s="45"/>
      <c r="V461" s="45"/>
    </row>
    <row r="462">
      <c r="O462" s="41"/>
      <c r="P462" s="45"/>
      <c r="R462" s="45"/>
      <c r="T462" s="45"/>
      <c r="V462" s="45"/>
    </row>
    <row r="463">
      <c r="O463" s="41"/>
      <c r="P463" s="45"/>
      <c r="R463" s="45"/>
      <c r="T463" s="45"/>
      <c r="V463" s="45"/>
    </row>
    <row r="464">
      <c r="O464" s="41"/>
      <c r="P464" s="45"/>
      <c r="R464" s="45"/>
      <c r="T464" s="45"/>
      <c r="V464" s="45"/>
    </row>
    <row r="465">
      <c r="O465" s="41"/>
      <c r="P465" s="45"/>
      <c r="R465" s="45"/>
      <c r="T465" s="45"/>
      <c r="V465" s="45"/>
    </row>
    <row r="466">
      <c r="O466" s="41"/>
      <c r="P466" s="45"/>
      <c r="R466" s="45"/>
      <c r="T466" s="45"/>
      <c r="V466" s="45"/>
    </row>
    <row r="467">
      <c r="O467" s="41"/>
      <c r="P467" s="45"/>
      <c r="R467" s="45"/>
      <c r="T467" s="45"/>
      <c r="V467" s="45"/>
    </row>
    <row r="468">
      <c r="O468" s="41"/>
      <c r="P468" s="45"/>
      <c r="R468" s="45"/>
      <c r="T468" s="45"/>
      <c r="V468" s="45"/>
    </row>
    <row r="469">
      <c r="O469" s="41"/>
      <c r="P469" s="45"/>
      <c r="R469" s="45"/>
      <c r="T469" s="45"/>
      <c r="V469" s="45"/>
    </row>
    <row r="470">
      <c r="O470" s="41"/>
      <c r="P470" s="45"/>
      <c r="R470" s="45"/>
      <c r="T470" s="45"/>
      <c r="V470" s="45"/>
    </row>
    <row r="471">
      <c r="O471" s="41"/>
      <c r="P471" s="45"/>
      <c r="R471" s="45"/>
      <c r="T471" s="45"/>
      <c r="V471" s="45"/>
    </row>
    <row r="472">
      <c r="O472" s="41"/>
      <c r="P472" s="45"/>
      <c r="R472" s="45"/>
      <c r="T472" s="45"/>
      <c r="V472" s="45"/>
    </row>
    <row r="473">
      <c r="O473" s="41"/>
      <c r="P473" s="45"/>
      <c r="R473" s="45"/>
      <c r="T473" s="45"/>
      <c r="V473" s="45"/>
    </row>
    <row r="474">
      <c r="O474" s="41"/>
      <c r="P474" s="45"/>
      <c r="R474" s="45"/>
      <c r="T474" s="45"/>
      <c r="V474" s="45"/>
    </row>
    <row r="475">
      <c r="O475" s="41"/>
      <c r="P475" s="45"/>
      <c r="R475" s="45"/>
      <c r="T475" s="45"/>
      <c r="V475" s="45"/>
    </row>
    <row r="476">
      <c r="O476" s="41"/>
      <c r="P476" s="45"/>
      <c r="R476" s="45"/>
      <c r="T476" s="45"/>
      <c r="V476" s="45"/>
    </row>
    <row r="477">
      <c r="O477" s="41"/>
      <c r="P477" s="45"/>
      <c r="R477" s="45"/>
      <c r="T477" s="45"/>
      <c r="V477" s="45"/>
    </row>
    <row r="478">
      <c r="O478" s="41"/>
      <c r="P478" s="45"/>
      <c r="R478" s="45"/>
      <c r="T478" s="45"/>
      <c r="V478" s="45"/>
    </row>
    <row r="479">
      <c r="O479" s="41"/>
      <c r="P479" s="45"/>
      <c r="R479" s="45"/>
      <c r="T479" s="45"/>
      <c r="V479" s="45"/>
    </row>
    <row r="480">
      <c r="O480" s="41"/>
      <c r="P480" s="45"/>
      <c r="R480" s="45"/>
      <c r="T480" s="45"/>
      <c r="V480" s="45"/>
    </row>
    <row r="481">
      <c r="O481" s="41"/>
      <c r="P481" s="45"/>
      <c r="R481" s="45"/>
      <c r="T481" s="45"/>
      <c r="V481" s="45"/>
    </row>
    <row r="482">
      <c r="O482" s="41"/>
      <c r="P482" s="45"/>
      <c r="R482" s="45"/>
      <c r="T482" s="45"/>
      <c r="V482" s="45"/>
    </row>
    <row r="483">
      <c r="O483" s="41"/>
      <c r="P483" s="45"/>
      <c r="R483" s="45"/>
      <c r="T483" s="45"/>
      <c r="V483" s="45"/>
    </row>
    <row r="484">
      <c r="O484" s="41"/>
      <c r="P484" s="45"/>
      <c r="R484" s="45"/>
      <c r="T484" s="45"/>
      <c r="V484" s="45"/>
    </row>
    <row r="485">
      <c r="O485" s="41"/>
      <c r="P485" s="45"/>
      <c r="R485" s="45"/>
      <c r="T485" s="45"/>
      <c r="V485" s="45"/>
    </row>
    <row r="486">
      <c r="O486" s="41"/>
      <c r="P486" s="45"/>
      <c r="R486" s="45"/>
      <c r="T486" s="45"/>
      <c r="V486" s="45"/>
    </row>
    <row r="487">
      <c r="O487" s="41"/>
      <c r="P487" s="45"/>
      <c r="R487" s="45"/>
      <c r="T487" s="45"/>
      <c r="V487" s="45"/>
    </row>
    <row r="488">
      <c r="O488" s="41"/>
      <c r="P488" s="45"/>
      <c r="R488" s="45"/>
      <c r="T488" s="45"/>
      <c r="V488" s="45"/>
    </row>
    <row r="489">
      <c r="O489" s="41"/>
      <c r="P489" s="45"/>
      <c r="R489" s="45"/>
      <c r="T489" s="45"/>
      <c r="V489" s="45"/>
    </row>
    <row r="490">
      <c r="O490" s="41"/>
      <c r="P490" s="45"/>
      <c r="R490" s="45"/>
      <c r="T490" s="45"/>
      <c r="V490" s="45"/>
    </row>
    <row r="491">
      <c r="O491" s="41"/>
      <c r="P491" s="45"/>
      <c r="R491" s="45"/>
      <c r="T491" s="45"/>
      <c r="V491" s="45"/>
    </row>
    <row r="492">
      <c r="O492" s="41"/>
      <c r="P492" s="45"/>
      <c r="R492" s="45"/>
      <c r="T492" s="45"/>
      <c r="V492" s="45"/>
    </row>
    <row r="493">
      <c r="O493" s="41"/>
      <c r="P493" s="45"/>
      <c r="R493" s="45"/>
      <c r="T493" s="45"/>
      <c r="V493" s="45"/>
    </row>
    <row r="494">
      <c r="O494" s="41"/>
      <c r="P494" s="45"/>
      <c r="R494" s="45"/>
      <c r="T494" s="45"/>
      <c r="V494" s="45"/>
    </row>
    <row r="495">
      <c r="O495" s="41"/>
      <c r="P495" s="45"/>
      <c r="R495" s="45"/>
      <c r="T495" s="45"/>
      <c r="V495" s="45"/>
    </row>
    <row r="496">
      <c r="O496" s="41"/>
      <c r="P496" s="45"/>
      <c r="R496" s="45"/>
      <c r="T496" s="45"/>
      <c r="V496" s="45"/>
    </row>
    <row r="497">
      <c r="O497" s="41"/>
      <c r="P497" s="45"/>
      <c r="R497" s="45"/>
      <c r="T497" s="45"/>
      <c r="V497" s="45"/>
    </row>
    <row r="498">
      <c r="O498" s="41"/>
      <c r="P498" s="45"/>
      <c r="R498" s="45"/>
      <c r="T498" s="45"/>
      <c r="V498" s="45"/>
    </row>
    <row r="499">
      <c r="O499" s="41"/>
      <c r="P499" s="45"/>
      <c r="R499" s="45"/>
      <c r="T499" s="45"/>
      <c r="V499" s="45"/>
    </row>
    <row r="500">
      <c r="O500" s="41"/>
      <c r="P500" s="45"/>
      <c r="R500" s="45"/>
      <c r="T500" s="45"/>
      <c r="V500" s="45"/>
    </row>
    <row r="501">
      <c r="O501" s="41"/>
      <c r="P501" s="45"/>
      <c r="R501" s="45"/>
      <c r="T501" s="45"/>
      <c r="V501" s="45"/>
    </row>
    <row r="502">
      <c r="O502" s="41"/>
      <c r="P502" s="45"/>
      <c r="R502" s="45"/>
      <c r="T502" s="45"/>
      <c r="V502" s="45"/>
    </row>
    <row r="503">
      <c r="O503" s="41"/>
      <c r="P503" s="45"/>
      <c r="R503" s="45"/>
      <c r="T503" s="45"/>
      <c r="V503" s="45"/>
    </row>
    <row r="504">
      <c r="O504" s="41"/>
      <c r="P504" s="45"/>
      <c r="R504" s="45"/>
      <c r="T504" s="45"/>
      <c r="V504" s="45"/>
    </row>
    <row r="505">
      <c r="O505" s="41"/>
      <c r="P505" s="45"/>
      <c r="R505" s="45"/>
      <c r="T505" s="45"/>
      <c r="V505" s="45"/>
    </row>
    <row r="506">
      <c r="O506" s="41"/>
      <c r="P506" s="45"/>
      <c r="R506" s="45"/>
      <c r="T506" s="45"/>
      <c r="V506" s="45"/>
    </row>
    <row r="507">
      <c r="O507" s="41"/>
      <c r="P507" s="45"/>
      <c r="R507" s="45"/>
      <c r="T507" s="45"/>
      <c r="V507" s="45"/>
    </row>
    <row r="508">
      <c r="O508" s="41"/>
      <c r="P508" s="45"/>
      <c r="R508" s="45"/>
      <c r="T508" s="45"/>
      <c r="V508" s="45"/>
    </row>
    <row r="509">
      <c r="O509" s="41"/>
      <c r="P509" s="45"/>
      <c r="R509" s="45"/>
      <c r="T509" s="45"/>
      <c r="V509" s="45"/>
    </row>
    <row r="510">
      <c r="O510" s="41"/>
      <c r="P510" s="45"/>
      <c r="R510" s="45"/>
      <c r="T510" s="45"/>
      <c r="V510" s="45"/>
    </row>
    <row r="511">
      <c r="O511" s="41"/>
      <c r="P511" s="45"/>
      <c r="R511" s="45"/>
      <c r="T511" s="45"/>
      <c r="V511" s="45"/>
    </row>
    <row r="512">
      <c r="O512" s="41"/>
      <c r="P512" s="45"/>
      <c r="R512" s="45"/>
      <c r="T512" s="45"/>
      <c r="V512" s="45"/>
    </row>
    <row r="513">
      <c r="O513" s="41"/>
      <c r="P513" s="45"/>
      <c r="R513" s="45"/>
      <c r="T513" s="45"/>
      <c r="V513" s="45"/>
    </row>
    <row r="514">
      <c r="O514" s="41"/>
      <c r="P514" s="45"/>
      <c r="R514" s="45"/>
      <c r="T514" s="45"/>
      <c r="V514" s="45"/>
    </row>
    <row r="515">
      <c r="O515" s="41"/>
      <c r="P515" s="45"/>
      <c r="R515" s="45"/>
      <c r="T515" s="45"/>
      <c r="V515" s="45"/>
    </row>
    <row r="516">
      <c r="O516" s="41"/>
      <c r="P516" s="45"/>
      <c r="R516" s="45"/>
      <c r="T516" s="45"/>
      <c r="V516" s="45"/>
    </row>
    <row r="517">
      <c r="O517" s="41"/>
      <c r="P517" s="45"/>
      <c r="R517" s="45"/>
      <c r="T517" s="45"/>
      <c r="V517" s="45"/>
    </row>
    <row r="518">
      <c r="O518" s="41"/>
      <c r="P518" s="45"/>
      <c r="R518" s="45"/>
      <c r="T518" s="45"/>
      <c r="V518" s="45"/>
    </row>
    <row r="519">
      <c r="O519" s="41"/>
      <c r="P519" s="45"/>
      <c r="R519" s="45"/>
      <c r="T519" s="45"/>
      <c r="V519" s="45"/>
    </row>
    <row r="520">
      <c r="O520" s="41"/>
      <c r="P520" s="45"/>
      <c r="R520" s="45"/>
      <c r="T520" s="45"/>
      <c r="V520" s="45"/>
    </row>
    <row r="521">
      <c r="O521" s="41"/>
      <c r="P521" s="45"/>
      <c r="R521" s="45"/>
      <c r="T521" s="45"/>
      <c r="V521" s="45"/>
    </row>
    <row r="522">
      <c r="O522" s="41"/>
      <c r="P522" s="45"/>
      <c r="R522" s="45"/>
      <c r="T522" s="45"/>
      <c r="V522" s="45"/>
    </row>
    <row r="523">
      <c r="O523" s="41"/>
      <c r="P523" s="45"/>
      <c r="R523" s="45"/>
      <c r="T523" s="45"/>
      <c r="V523" s="45"/>
    </row>
    <row r="524">
      <c r="O524" s="41"/>
      <c r="P524" s="45"/>
      <c r="R524" s="45"/>
      <c r="T524" s="45"/>
      <c r="V524" s="45"/>
    </row>
    <row r="525">
      <c r="O525" s="41"/>
      <c r="P525" s="45"/>
      <c r="R525" s="45"/>
      <c r="T525" s="45"/>
      <c r="V525" s="45"/>
    </row>
    <row r="526">
      <c r="O526" s="41"/>
      <c r="P526" s="45"/>
      <c r="R526" s="45"/>
      <c r="T526" s="45"/>
      <c r="V526" s="45"/>
    </row>
    <row r="527">
      <c r="O527" s="41"/>
      <c r="P527" s="45"/>
      <c r="R527" s="45"/>
      <c r="T527" s="45"/>
      <c r="V527" s="45"/>
    </row>
    <row r="528">
      <c r="O528" s="41"/>
      <c r="P528" s="45"/>
      <c r="R528" s="45"/>
      <c r="T528" s="45"/>
      <c r="V528" s="45"/>
    </row>
    <row r="529">
      <c r="O529" s="41"/>
      <c r="P529" s="45"/>
      <c r="R529" s="45"/>
      <c r="T529" s="45"/>
      <c r="V529" s="45"/>
    </row>
    <row r="530">
      <c r="O530" s="41"/>
      <c r="P530" s="45"/>
      <c r="R530" s="45"/>
      <c r="T530" s="45"/>
      <c r="V530" s="45"/>
    </row>
    <row r="531">
      <c r="O531" s="41"/>
      <c r="P531" s="45"/>
      <c r="R531" s="45"/>
      <c r="T531" s="45"/>
      <c r="V531" s="45"/>
    </row>
    <row r="532">
      <c r="O532" s="41"/>
      <c r="P532" s="45"/>
      <c r="R532" s="45"/>
      <c r="T532" s="45"/>
      <c r="V532" s="45"/>
    </row>
    <row r="533">
      <c r="O533" s="41"/>
      <c r="P533" s="45"/>
      <c r="R533" s="45"/>
      <c r="T533" s="45"/>
      <c r="V533" s="45"/>
    </row>
    <row r="534">
      <c r="O534" s="41"/>
      <c r="P534" s="45"/>
      <c r="R534" s="45"/>
      <c r="T534" s="45"/>
      <c r="V534" s="45"/>
    </row>
    <row r="535">
      <c r="O535" s="41"/>
      <c r="P535" s="45"/>
      <c r="R535" s="45"/>
      <c r="T535" s="45"/>
      <c r="V535" s="45"/>
    </row>
    <row r="536">
      <c r="O536" s="41"/>
      <c r="P536" s="45"/>
      <c r="R536" s="45"/>
      <c r="T536" s="45"/>
      <c r="V536" s="45"/>
    </row>
    <row r="537">
      <c r="O537" s="41"/>
      <c r="P537" s="45"/>
      <c r="R537" s="45"/>
      <c r="T537" s="45"/>
      <c r="V537" s="45"/>
    </row>
    <row r="538">
      <c r="O538" s="41"/>
      <c r="P538" s="45"/>
      <c r="R538" s="45"/>
      <c r="T538" s="45"/>
      <c r="V538" s="45"/>
    </row>
    <row r="539">
      <c r="O539" s="41"/>
      <c r="P539" s="45"/>
      <c r="R539" s="45"/>
      <c r="T539" s="45"/>
      <c r="V539" s="45"/>
    </row>
    <row r="540">
      <c r="O540" s="41"/>
      <c r="P540" s="45"/>
      <c r="R540" s="45"/>
      <c r="T540" s="45"/>
      <c r="V540" s="45"/>
    </row>
    <row r="541">
      <c r="O541" s="41"/>
      <c r="P541" s="45"/>
      <c r="R541" s="45"/>
      <c r="T541" s="45"/>
      <c r="V541" s="45"/>
    </row>
    <row r="542">
      <c r="O542" s="41"/>
      <c r="P542" s="45"/>
      <c r="R542" s="45"/>
      <c r="T542" s="45"/>
      <c r="V542" s="45"/>
    </row>
    <row r="543">
      <c r="O543" s="41"/>
      <c r="P543" s="45"/>
      <c r="R543" s="45"/>
      <c r="T543" s="45"/>
      <c r="V543" s="45"/>
    </row>
    <row r="544">
      <c r="O544" s="41"/>
      <c r="P544" s="45"/>
      <c r="R544" s="45"/>
      <c r="T544" s="45"/>
      <c r="V544" s="45"/>
    </row>
    <row r="545">
      <c r="O545" s="41"/>
      <c r="P545" s="45"/>
      <c r="R545" s="45"/>
      <c r="T545" s="45"/>
      <c r="V545" s="45"/>
    </row>
    <row r="546">
      <c r="O546" s="41"/>
      <c r="P546" s="45"/>
      <c r="R546" s="45"/>
      <c r="T546" s="45"/>
      <c r="V546" s="45"/>
    </row>
    <row r="547">
      <c r="O547" s="41"/>
      <c r="P547" s="45"/>
      <c r="R547" s="45"/>
      <c r="T547" s="45"/>
      <c r="V547" s="45"/>
    </row>
    <row r="548">
      <c r="O548" s="41"/>
      <c r="P548" s="45"/>
      <c r="R548" s="45"/>
      <c r="T548" s="45"/>
      <c r="V548" s="45"/>
    </row>
    <row r="549">
      <c r="O549" s="41"/>
      <c r="P549" s="45"/>
      <c r="R549" s="45"/>
      <c r="T549" s="45"/>
      <c r="V549" s="45"/>
    </row>
    <row r="550">
      <c r="O550" s="41"/>
      <c r="P550" s="45"/>
      <c r="R550" s="45"/>
      <c r="T550" s="45"/>
      <c r="V550" s="45"/>
    </row>
    <row r="551">
      <c r="O551" s="41"/>
      <c r="P551" s="45"/>
      <c r="R551" s="45"/>
      <c r="T551" s="45"/>
      <c r="V551" s="45"/>
    </row>
    <row r="552">
      <c r="O552" s="41"/>
      <c r="P552" s="45"/>
      <c r="R552" s="45"/>
      <c r="T552" s="45"/>
      <c r="V552" s="45"/>
    </row>
    <row r="553">
      <c r="O553" s="41"/>
      <c r="P553" s="45"/>
      <c r="R553" s="45"/>
      <c r="T553" s="45"/>
      <c r="V553" s="45"/>
    </row>
    <row r="554">
      <c r="O554" s="41"/>
      <c r="P554" s="45"/>
      <c r="R554" s="45"/>
      <c r="T554" s="45"/>
      <c r="V554" s="45"/>
    </row>
    <row r="555">
      <c r="O555" s="41"/>
      <c r="P555" s="45"/>
      <c r="R555" s="45"/>
      <c r="T555" s="45"/>
      <c r="V555" s="45"/>
    </row>
    <row r="556">
      <c r="O556" s="41"/>
      <c r="P556" s="45"/>
      <c r="R556" s="45"/>
      <c r="T556" s="45"/>
      <c r="V556" s="45"/>
    </row>
    <row r="557">
      <c r="O557" s="41"/>
      <c r="P557" s="45"/>
      <c r="R557" s="45"/>
      <c r="T557" s="45"/>
      <c r="V557" s="45"/>
    </row>
    <row r="558">
      <c r="O558" s="41"/>
      <c r="P558" s="45"/>
      <c r="R558" s="45"/>
      <c r="T558" s="45"/>
      <c r="V558" s="45"/>
    </row>
    <row r="559">
      <c r="O559" s="41"/>
      <c r="P559" s="45"/>
      <c r="R559" s="45"/>
      <c r="T559" s="45"/>
      <c r="V559" s="45"/>
    </row>
    <row r="560">
      <c r="O560" s="41"/>
      <c r="P560" s="45"/>
      <c r="R560" s="45"/>
      <c r="T560" s="45"/>
      <c r="V560" s="45"/>
    </row>
    <row r="561">
      <c r="O561" s="41"/>
      <c r="P561" s="45"/>
      <c r="R561" s="45"/>
      <c r="T561" s="45"/>
      <c r="V561" s="45"/>
    </row>
    <row r="562">
      <c r="O562" s="41"/>
      <c r="P562" s="45"/>
      <c r="R562" s="45"/>
      <c r="T562" s="45"/>
      <c r="V562" s="45"/>
    </row>
    <row r="563">
      <c r="O563" s="41"/>
      <c r="P563" s="45"/>
      <c r="R563" s="45"/>
      <c r="T563" s="45"/>
      <c r="V563" s="45"/>
    </row>
    <row r="564">
      <c r="O564" s="41"/>
      <c r="P564" s="45"/>
      <c r="R564" s="45"/>
      <c r="T564" s="45"/>
      <c r="V564" s="45"/>
    </row>
    <row r="565">
      <c r="O565" s="41"/>
      <c r="P565" s="45"/>
      <c r="R565" s="45"/>
      <c r="T565" s="45"/>
      <c r="V565" s="45"/>
    </row>
    <row r="566">
      <c r="O566" s="41"/>
      <c r="P566" s="45"/>
      <c r="R566" s="45"/>
      <c r="T566" s="45"/>
      <c r="V566" s="45"/>
    </row>
    <row r="567">
      <c r="O567" s="41"/>
      <c r="P567" s="45"/>
      <c r="R567" s="45"/>
      <c r="T567" s="45"/>
      <c r="V567" s="45"/>
    </row>
    <row r="568">
      <c r="O568" s="41"/>
      <c r="P568" s="45"/>
      <c r="R568" s="45"/>
      <c r="T568" s="45"/>
      <c r="V568" s="45"/>
    </row>
    <row r="569">
      <c r="O569" s="41"/>
      <c r="P569" s="45"/>
      <c r="R569" s="45"/>
      <c r="T569" s="45"/>
      <c r="V569" s="45"/>
    </row>
    <row r="570">
      <c r="O570" s="41"/>
      <c r="P570" s="45"/>
      <c r="R570" s="45"/>
      <c r="T570" s="45"/>
      <c r="V570" s="45"/>
    </row>
    <row r="571">
      <c r="O571" s="41"/>
      <c r="P571" s="45"/>
      <c r="R571" s="45"/>
      <c r="T571" s="45"/>
      <c r="V571" s="45"/>
    </row>
    <row r="572">
      <c r="O572" s="41"/>
      <c r="P572" s="45"/>
      <c r="R572" s="45"/>
      <c r="T572" s="45"/>
      <c r="V572" s="45"/>
    </row>
    <row r="573">
      <c r="O573" s="41"/>
      <c r="P573" s="45"/>
      <c r="R573" s="45"/>
      <c r="T573" s="45"/>
      <c r="V573" s="45"/>
    </row>
    <row r="574">
      <c r="O574" s="41"/>
      <c r="P574" s="45"/>
      <c r="R574" s="45"/>
      <c r="T574" s="45"/>
      <c r="V574" s="45"/>
    </row>
    <row r="575">
      <c r="O575" s="41"/>
      <c r="P575" s="45"/>
      <c r="R575" s="45"/>
      <c r="T575" s="45"/>
      <c r="V575" s="45"/>
    </row>
    <row r="576">
      <c r="O576" s="41"/>
      <c r="P576" s="45"/>
      <c r="R576" s="45"/>
      <c r="T576" s="45"/>
      <c r="V576" s="45"/>
    </row>
    <row r="577">
      <c r="O577" s="41"/>
      <c r="P577" s="45"/>
      <c r="R577" s="45"/>
      <c r="T577" s="45"/>
      <c r="V577" s="45"/>
    </row>
    <row r="578">
      <c r="O578" s="41"/>
      <c r="P578" s="45"/>
      <c r="R578" s="45"/>
      <c r="T578" s="45"/>
      <c r="V578" s="45"/>
    </row>
    <row r="579">
      <c r="O579" s="41"/>
      <c r="P579" s="45"/>
      <c r="R579" s="45"/>
      <c r="T579" s="45"/>
      <c r="V579" s="45"/>
    </row>
    <row r="580">
      <c r="O580" s="41"/>
      <c r="P580" s="45"/>
      <c r="R580" s="45"/>
      <c r="T580" s="45"/>
      <c r="V580" s="45"/>
    </row>
    <row r="581">
      <c r="O581" s="41"/>
      <c r="P581" s="45"/>
      <c r="R581" s="45"/>
      <c r="T581" s="45"/>
      <c r="V581" s="45"/>
    </row>
    <row r="582">
      <c r="O582" s="41"/>
      <c r="P582" s="45"/>
      <c r="R582" s="45"/>
      <c r="T582" s="45"/>
      <c r="V582" s="45"/>
    </row>
    <row r="583">
      <c r="O583" s="41"/>
      <c r="P583" s="45"/>
      <c r="R583" s="45"/>
      <c r="T583" s="45"/>
      <c r="V583" s="45"/>
    </row>
    <row r="584">
      <c r="O584" s="41"/>
      <c r="P584" s="45"/>
      <c r="R584" s="45"/>
      <c r="T584" s="45"/>
      <c r="V584" s="45"/>
    </row>
    <row r="585">
      <c r="O585" s="41"/>
      <c r="P585" s="45"/>
      <c r="R585" s="45"/>
      <c r="T585" s="45"/>
      <c r="V585" s="45"/>
    </row>
    <row r="586">
      <c r="O586" s="41"/>
      <c r="P586" s="45"/>
      <c r="R586" s="45"/>
      <c r="T586" s="45"/>
      <c r="V586" s="45"/>
    </row>
    <row r="587">
      <c r="O587" s="41"/>
      <c r="P587" s="45"/>
      <c r="R587" s="45"/>
      <c r="T587" s="45"/>
      <c r="V587" s="45"/>
    </row>
    <row r="588">
      <c r="O588" s="41"/>
      <c r="P588" s="45"/>
      <c r="R588" s="45"/>
      <c r="T588" s="45"/>
      <c r="V588" s="45"/>
    </row>
    <row r="589">
      <c r="O589" s="41"/>
      <c r="P589" s="45"/>
      <c r="R589" s="45"/>
      <c r="T589" s="45"/>
      <c r="V589" s="45"/>
    </row>
    <row r="590">
      <c r="O590" s="41"/>
      <c r="P590" s="45"/>
      <c r="R590" s="45"/>
      <c r="T590" s="45"/>
      <c r="V590" s="45"/>
    </row>
    <row r="591">
      <c r="O591" s="41"/>
      <c r="P591" s="45"/>
      <c r="R591" s="45"/>
      <c r="T591" s="45"/>
      <c r="V591" s="45"/>
    </row>
    <row r="592">
      <c r="O592" s="41"/>
      <c r="P592" s="45"/>
      <c r="R592" s="45"/>
      <c r="T592" s="45"/>
      <c r="V592" s="45"/>
    </row>
    <row r="593">
      <c r="O593" s="41"/>
      <c r="P593" s="45"/>
      <c r="R593" s="45"/>
      <c r="T593" s="45"/>
      <c r="V593" s="45"/>
    </row>
    <row r="594">
      <c r="O594" s="41"/>
      <c r="P594" s="45"/>
      <c r="R594" s="45"/>
      <c r="T594" s="45"/>
      <c r="V594" s="45"/>
    </row>
    <row r="595">
      <c r="O595" s="41"/>
      <c r="P595" s="45"/>
      <c r="R595" s="45"/>
      <c r="T595" s="45"/>
      <c r="V595" s="45"/>
    </row>
    <row r="596">
      <c r="O596" s="41"/>
      <c r="P596" s="45"/>
      <c r="R596" s="45"/>
      <c r="T596" s="45"/>
      <c r="V596" s="45"/>
    </row>
    <row r="597">
      <c r="O597" s="41"/>
      <c r="P597" s="45"/>
      <c r="R597" s="45"/>
      <c r="T597" s="45"/>
      <c r="V597" s="45"/>
    </row>
    <row r="598">
      <c r="O598" s="41"/>
      <c r="P598" s="45"/>
      <c r="R598" s="45"/>
      <c r="T598" s="45"/>
      <c r="V598" s="45"/>
    </row>
    <row r="599">
      <c r="O599" s="41"/>
      <c r="P599" s="45"/>
      <c r="R599" s="45"/>
      <c r="T599" s="45"/>
      <c r="V599" s="45"/>
    </row>
    <row r="600">
      <c r="O600" s="41"/>
      <c r="P600" s="45"/>
      <c r="R600" s="45"/>
      <c r="T600" s="45"/>
      <c r="V600" s="45"/>
    </row>
    <row r="601">
      <c r="O601" s="41"/>
      <c r="P601" s="45"/>
      <c r="R601" s="45"/>
      <c r="T601" s="45"/>
      <c r="V601" s="45"/>
    </row>
    <row r="602">
      <c r="O602" s="41"/>
      <c r="P602" s="45"/>
      <c r="R602" s="45"/>
      <c r="T602" s="45"/>
      <c r="V602" s="45"/>
    </row>
    <row r="603">
      <c r="O603" s="41"/>
      <c r="P603" s="45"/>
      <c r="R603" s="45"/>
      <c r="T603" s="45"/>
      <c r="V603" s="45"/>
    </row>
    <row r="604">
      <c r="O604" s="41"/>
      <c r="P604" s="45"/>
      <c r="R604" s="45"/>
      <c r="T604" s="45"/>
      <c r="V604" s="45"/>
    </row>
    <row r="605">
      <c r="O605" s="41"/>
      <c r="P605" s="45"/>
      <c r="R605" s="45"/>
      <c r="T605" s="45"/>
      <c r="V605" s="45"/>
    </row>
    <row r="606">
      <c r="O606" s="41"/>
      <c r="P606" s="45"/>
      <c r="R606" s="45"/>
      <c r="T606" s="45"/>
      <c r="V606" s="45"/>
    </row>
    <row r="607">
      <c r="O607" s="41"/>
      <c r="P607" s="45"/>
      <c r="R607" s="45"/>
      <c r="T607" s="45"/>
      <c r="V607" s="45"/>
    </row>
    <row r="608">
      <c r="O608" s="41"/>
      <c r="P608" s="45"/>
      <c r="R608" s="45"/>
      <c r="T608" s="45"/>
      <c r="V608" s="45"/>
    </row>
    <row r="609">
      <c r="O609" s="41"/>
      <c r="P609" s="45"/>
      <c r="R609" s="45"/>
      <c r="T609" s="45"/>
      <c r="V609" s="45"/>
    </row>
    <row r="610">
      <c r="O610" s="41"/>
      <c r="P610" s="45"/>
      <c r="R610" s="45"/>
      <c r="T610" s="45"/>
      <c r="V610" s="45"/>
    </row>
    <row r="611">
      <c r="O611" s="41"/>
      <c r="P611" s="45"/>
      <c r="R611" s="45"/>
      <c r="T611" s="45"/>
      <c r="V611" s="45"/>
    </row>
    <row r="612">
      <c r="O612" s="41"/>
      <c r="P612" s="45"/>
      <c r="R612" s="45"/>
      <c r="T612" s="45"/>
      <c r="V612" s="45"/>
    </row>
    <row r="613">
      <c r="O613" s="41"/>
      <c r="P613" s="45"/>
      <c r="R613" s="45"/>
      <c r="T613" s="45"/>
      <c r="V613" s="45"/>
    </row>
    <row r="614">
      <c r="O614" s="41"/>
      <c r="P614" s="45"/>
      <c r="R614" s="45"/>
      <c r="T614" s="45"/>
      <c r="V614" s="45"/>
    </row>
    <row r="615">
      <c r="O615" s="41"/>
      <c r="P615" s="45"/>
      <c r="R615" s="45"/>
      <c r="T615" s="45"/>
      <c r="V615" s="45"/>
    </row>
    <row r="616">
      <c r="O616" s="41"/>
      <c r="P616" s="45"/>
      <c r="R616" s="45"/>
      <c r="T616" s="45"/>
      <c r="V616" s="45"/>
    </row>
    <row r="617">
      <c r="O617" s="41"/>
      <c r="P617" s="45"/>
      <c r="R617" s="45"/>
      <c r="T617" s="45"/>
      <c r="V617" s="45"/>
    </row>
    <row r="618">
      <c r="O618" s="41"/>
      <c r="P618" s="45"/>
      <c r="R618" s="45"/>
      <c r="T618" s="45"/>
      <c r="V618" s="45"/>
    </row>
    <row r="619">
      <c r="O619" s="41"/>
      <c r="P619" s="45"/>
      <c r="R619" s="45"/>
      <c r="T619" s="45"/>
      <c r="V619" s="45"/>
    </row>
    <row r="620">
      <c r="O620" s="41"/>
      <c r="P620" s="45"/>
      <c r="R620" s="45"/>
      <c r="T620" s="45"/>
      <c r="V620" s="45"/>
    </row>
    <row r="621">
      <c r="O621" s="41"/>
      <c r="P621" s="45"/>
      <c r="R621" s="45"/>
      <c r="T621" s="45"/>
      <c r="V621" s="45"/>
    </row>
    <row r="622">
      <c r="O622" s="41"/>
      <c r="P622" s="45"/>
      <c r="R622" s="45"/>
      <c r="T622" s="45"/>
      <c r="V622" s="45"/>
    </row>
    <row r="623">
      <c r="O623" s="41"/>
      <c r="P623" s="45"/>
      <c r="R623" s="45"/>
      <c r="T623" s="45"/>
      <c r="V623" s="45"/>
    </row>
    <row r="624">
      <c r="O624" s="41"/>
      <c r="P624" s="45"/>
      <c r="R624" s="45"/>
      <c r="T624" s="45"/>
      <c r="V624" s="45"/>
    </row>
    <row r="625">
      <c r="O625" s="41"/>
      <c r="P625" s="45"/>
      <c r="R625" s="45"/>
      <c r="T625" s="45"/>
      <c r="V625" s="45"/>
    </row>
    <row r="626">
      <c r="O626" s="41"/>
      <c r="P626" s="45"/>
      <c r="R626" s="45"/>
      <c r="T626" s="45"/>
      <c r="V626" s="45"/>
    </row>
    <row r="627">
      <c r="O627" s="41"/>
      <c r="P627" s="45"/>
      <c r="R627" s="45"/>
      <c r="T627" s="45"/>
      <c r="V627" s="45"/>
    </row>
    <row r="628">
      <c r="O628" s="41"/>
      <c r="P628" s="45"/>
      <c r="R628" s="45"/>
      <c r="T628" s="45"/>
      <c r="V628" s="45"/>
    </row>
    <row r="629">
      <c r="O629" s="41"/>
      <c r="P629" s="45"/>
      <c r="R629" s="45"/>
      <c r="T629" s="45"/>
      <c r="V629" s="45"/>
    </row>
    <row r="630">
      <c r="O630" s="41"/>
      <c r="P630" s="45"/>
      <c r="R630" s="45"/>
      <c r="T630" s="45"/>
      <c r="V630" s="45"/>
    </row>
    <row r="631">
      <c r="O631" s="41"/>
      <c r="P631" s="45"/>
      <c r="R631" s="45"/>
      <c r="T631" s="45"/>
      <c r="V631" s="45"/>
    </row>
    <row r="632">
      <c r="O632" s="41"/>
      <c r="P632" s="45"/>
      <c r="R632" s="45"/>
      <c r="T632" s="45"/>
      <c r="V632" s="45"/>
    </row>
    <row r="633">
      <c r="O633" s="41"/>
      <c r="P633" s="45"/>
      <c r="R633" s="45"/>
      <c r="T633" s="45"/>
      <c r="V633" s="45"/>
    </row>
    <row r="634">
      <c r="O634" s="41"/>
      <c r="P634" s="45"/>
      <c r="R634" s="45"/>
      <c r="T634" s="45"/>
      <c r="V634" s="45"/>
    </row>
    <row r="635">
      <c r="O635" s="41"/>
      <c r="P635" s="45"/>
      <c r="R635" s="45"/>
      <c r="T635" s="45"/>
      <c r="V635" s="45"/>
    </row>
    <row r="636">
      <c r="O636" s="41"/>
      <c r="P636" s="45"/>
      <c r="R636" s="45"/>
      <c r="T636" s="45"/>
      <c r="V636" s="45"/>
    </row>
    <row r="637">
      <c r="O637" s="41"/>
      <c r="P637" s="45"/>
      <c r="R637" s="45"/>
      <c r="T637" s="45"/>
      <c r="V637" s="45"/>
    </row>
    <row r="638">
      <c r="O638" s="41"/>
      <c r="P638" s="45"/>
      <c r="R638" s="45"/>
      <c r="T638" s="45"/>
      <c r="V638" s="45"/>
    </row>
    <row r="639">
      <c r="O639" s="41"/>
      <c r="P639" s="45"/>
      <c r="R639" s="45"/>
      <c r="T639" s="45"/>
      <c r="V639" s="45"/>
    </row>
    <row r="640">
      <c r="O640" s="41"/>
      <c r="P640" s="45"/>
      <c r="R640" s="45"/>
      <c r="T640" s="45"/>
      <c r="V640" s="45"/>
    </row>
    <row r="641">
      <c r="O641" s="41"/>
      <c r="P641" s="45"/>
      <c r="R641" s="45"/>
      <c r="T641" s="45"/>
      <c r="V641" s="45"/>
    </row>
    <row r="642">
      <c r="O642" s="41"/>
      <c r="P642" s="45"/>
      <c r="R642" s="45"/>
      <c r="T642" s="45"/>
      <c r="V642" s="45"/>
    </row>
    <row r="643">
      <c r="O643" s="41"/>
      <c r="P643" s="45"/>
      <c r="R643" s="45"/>
      <c r="T643" s="45"/>
      <c r="V643" s="45"/>
    </row>
    <row r="644">
      <c r="O644" s="41"/>
      <c r="P644" s="45"/>
      <c r="R644" s="45"/>
      <c r="T644" s="45"/>
      <c r="V644" s="45"/>
    </row>
    <row r="645">
      <c r="O645" s="41"/>
      <c r="P645" s="45"/>
      <c r="R645" s="45"/>
      <c r="T645" s="45"/>
      <c r="V645" s="45"/>
    </row>
    <row r="646">
      <c r="O646" s="41"/>
      <c r="P646" s="45"/>
      <c r="R646" s="45"/>
      <c r="T646" s="45"/>
      <c r="V646" s="45"/>
    </row>
    <row r="647">
      <c r="O647" s="41"/>
      <c r="P647" s="45"/>
      <c r="R647" s="45"/>
      <c r="T647" s="45"/>
      <c r="V647" s="45"/>
    </row>
    <row r="648">
      <c r="O648" s="41"/>
      <c r="P648" s="45"/>
      <c r="R648" s="45"/>
      <c r="T648" s="45"/>
      <c r="V648" s="45"/>
    </row>
    <row r="649">
      <c r="O649" s="41"/>
      <c r="P649" s="45"/>
      <c r="R649" s="45"/>
      <c r="T649" s="45"/>
      <c r="V649" s="45"/>
    </row>
    <row r="650">
      <c r="O650" s="41"/>
      <c r="P650" s="45"/>
      <c r="R650" s="45"/>
      <c r="T650" s="45"/>
      <c r="V650" s="45"/>
    </row>
    <row r="651">
      <c r="O651" s="41"/>
      <c r="P651" s="45"/>
      <c r="R651" s="45"/>
      <c r="T651" s="45"/>
      <c r="V651" s="45"/>
    </row>
    <row r="652">
      <c r="O652" s="41"/>
      <c r="P652" s="45"/>
      <c r="R652" s="45"/>
      <c r="T652" s="45"/>
      <c r="V652" s="45"/>
    </row>
    <row r="653">
      <c r="O653" s="41"/>
      <c r="P653" s="45"/>
      <c r="R653" s="45"/>
      <c r="T653" s="45"/>
      <c r="V653" s="45"/>
    </row>
    <row r="654">
      <c r="O654" s="41"/>
      <c r="P654" s="45"/>
      <c r="R654" s="45"/>
      <c r="T654" s="45"/>
      <c r="V654" s="45"/>
    </row>
    <row r="655">
      <c r="O655" s="41"/>
      <c r="P655" s="45"/>
      <c r="R655" s="45"/>
      <c r="T655" s="45"/>
      <c r="V655" s="45"/>
    </row>
    <row r="656">
      <c r="O656" s="41"/>
      <c r="P656" s="45"/>
      <c r="R656" s="45"/>
      <c r="T656" s="45"/>
      <c r="V656" s="45"/>
    </row>
    <row r="657">
      <c r="O657" s="41"/>
      <c r="P657" s="45"/>
      <c r="R657" s="45"/>
      <c r="T657" s="45"/>
      <c r="V657" s="45"/>
    </row>
    <row r="658">
      <c r="O658" s="41"/>
      <c r="P658" s="45"/>
      <c r="R658" s="45"/>
      <c r="T658" s="45"/>
      <c r="V658" s="45"/>
    </row>
    <row r="659">
      <c r="O659" s="41"/>
      <c r="P659" s="45"/>
      <c r="R659" s="45"/>
      <c r="T659" s="45"/>
      <c r="V659" s="45"/>
    </row>
    <row r="660">
      <c r="O660" s="41"/>
      <c r="P660" s="45"/>
      <c r="R660" s="45"/>
      <c r="T660" s="45"/>
      <c r="V660" s="45"/>
    </row>
    <row r="661">
      <c r="O661" s="41"/>
      <c r="P661" s="45"/>
      <c r="R661" s="45"/>
      <c r="T661" s="45"/>
      <c r="V661" s="45"/>
    </row>
    <row r="662">
      <c r="O662" s="41"/>
      <c r="P662" s="45"/>
      <c r="R662" s="45"/>
      <c r="T662" s="45"/>
      <c r="V662" s="45"/>
    </row>
    <row r="663">
      <c r="O663" s="41"/>
      <c r="P663" s="45"/>
      <c r="R663" s="45"/>
      <c r="T663" s="45"/>
      <c r="V663" s="45"/>
    </row>
    <row r="664">
      <c r="O664" s="41"/>
      <c r="P664" s="45"/>
      <c r="R664" s="45"/>
      <c r="T664" s="45"/>
      <c r="V664" s="45"/>
    </row>
    <row r="665">
      <c r="O665" s="41"/>
      <c r="P665" s="45"/>
      <c r="R665" s="45"/>
      <c r="T665" s="45"/>
      <c r="V665" s="45"/>
    </row>
    <row r="666">
      <c r="O666" s="41"/>
      <c r="P666" s="45"/>
      <c r="R666" s="45"/>
      <c r="T666" s="45"/>
      <c r="V666" s="45"/>
    </row>
    <row r="667">
      <c r="O667" s="41"/>
      <c r="P667" s="45"/>
      <c r="R667" s="45"/>
      <c r="T667" s="45"/>
      <c r="V667" s="45"/>
    </row>
    <row r="668">
      <c r="O668" s="41"/>
      <c r="P668" s="45"/>
      <c r="R668" s="45"/>
      <c r="T668" s="45"/>
      <c r="V668" s="45"/>
    </row>
    <row r="669">
      <c r="O669" s="41"/>
      <c r="P669" s="45"/>
      <c r="R669" s="45"/>
      <c r="T669" s="45"/>
      <c r="V669" s="45"/>
    </row>
    <row r="670">
      <c r="O670" s="41"/>
      <c r="P670" s="45"/>
      <c r="R670" s="45"/>
      <c r="T670" s="45"/>
      <c r="V670" s="45"/>
    </row>
    <row r="671">
      <c r="O671" s="41"/>
      <c r="P671" s="45"/>
      <c r="R671" s="45"/>
      <c r="T671" s="45"/>
      <c r="V671" s="45"/>
    </row>
    <row r="672">
      <c r="O672" s="41"/>
      <c r="P672" s="45"/>
      <c r="R672" s="45"/>
      <c r="T672" s="45"/>
      <c r="V672" s="45"/>
    </row>
    <row r="673">
      <c r="O673" s="41"/>
      <c r="P673" s="45"/>
      <c r="R673" s="45"/>
      <c r="T673" s="45"/>
      <c r="V673" s="45"/>
    </row>
    <row r="674">
      <c r="O674" s="41"/>
      <c r="P674" s="45"/>
      <c r="R674" s="45"/>
      <c r="T674" s="45"/>
      <c r="V674" s="45"/>
    </row>
    <row r="675">
      <c r="O675" s="41"/>
      <c r="P675" s="45"/>
      <c r="R675" s="45"/>
      <c r="T675" s="45"/>
      <c r="V675" s="45"/>
    </row>
    <row r="676">
      <c r="O676" s="41"/>
      <c r="P676" s="45"/>
      <c r="R676" s="45"/>
      <c r="T676" s="45"/>
      <c r="V676" s="45"/>
    </row>
    <row r="677">
      <c r="O677" s="41"/>
      <c r="P677" s="45"/>
      <c r="R677" s="45"/>
      <c r="T677" s="45"/>
      <c r="V677" s="45"/>
    </row>
    <row r="678">
      <c r="O678" s="41"/>
      <c r="P678" s="45"/>
      <c r="R678" s="45"/>
      <c r="T678" s="45"/>
      <c r="V678" s="45"/>
    </row>
    <row r="679">
      <c r="O679" s="41"/>
      <c r="P679" s="45"/>
      <c r="R679" s="45"/>
      <c r="T679" s="45"/>
      <c r="V679" s="45"/>
    </row>
    <row r="680">
      <c r="O680" s="41"/>
      <c r="P680" s="45"/>
      <c r="R680" s="45"/>
      <c r="T680" s="45"/>
      <c r="V680" s="45"/>
    </row>
    <row r="681">
      <c r="O681" s="41"/>
      <c r="P681" s="45"/>
      <c r="R681" s="45"/>
      <c r="T681" s="45"/>
      <c r="V681" s="45"/>
    </row>
    <row r="682">
      <c r="O682" s="41"/>
      <c r="P682" s="45"/>
      <c r="R682" s="45"/>
      <c r="T682" s="45"/>
      <c r="V682" s="45"/>
    </row>
    <row r="683">
      <c r="O683" s="41"/>
      <c r="P683" s="45"/>
      <c r="R683" s="45"/>
      <c r="T683" s="45"/>
      <c r="V683" s="45"/>
    </row>
    <row r="684">
      <c r="O684" s="41"/>
      <c r="P684" s="45"/>
      <c r="R684" s="45"/>
      <c r="T684" s="45"/>
      <c r="V684" s="45"/>
    </row>
    <row r="685">
      <c r="O685" s="41"/>
      <c r="P685" s="45"/>
      <c r="R685" s="45"/>
      <c r="T685" s="45"/>
      <c r="V685" s="45"/>
    </row>
    <row r="686">
      <c r="O686" s="41"/>
      <c r="P686" s="45"/>
      <c r="R686" s="45"/>
      <c r="T686" s="45"/>
      <c r="V686" s="45"/>
    </row>
    <row r="687">
      <c r="O687" s="41"/>
      <c r="P687" s="45"/>
      <c r="R687" s="45"/>
      <c r="T687" s="45"/>
      <c r="V687" s="45"/>
    </row>
    <row r="688">
      <c r="O688" s="41"/>
      <c r="P688" s="45"/>
      <c r="R688" s="45"/>
      <c r="T688" s="45"/>
      <c r="V688" s="45"/>
    </row>
    <row r="689">
      <c r="O689" s="41"/>
      <c r="P689" s="45"/>
      <c r="R689" s="45"/>
      <c r="T689" s="45"/>
      <c r="V689" s="45"/>
    </row>
    <row r="690">
      <c r="O690" s="41"/>
      <c r="P690" s="45"/>
      <c r="R690" s="45"/>
      <c r="T690" s="45"/>
      <c r="V690" s="45"/>
    </row>
    <row r="691">
      <c r="O691" s="41"/>
      <c r="P691" s="45"/>
      <c r="R691" s="45"/>
      <c r="T691" s="45"/>
      <c r="V691" s="45"/>
    </row>
    <row r="692">
      <c r="O692" s="41"/>
      <c r="P692" s="45"/>
      <c r="R692" s="45"/>
      <c r="T692" s="45"/>
      <c r="V692" s="45"/>
    </row>
    <row r="693">
      <c r="O693" s="41"/>
      <c r="P693" s="45"/>
      <c r="R693" s="45"/>
      <c r="T693" s="45"/>
      <c r="V693" s="45"/>
    </row>
    <row r="694">
      <c r="O694" s="41"/>
      <c r="P694" s="45"/>
      <c r="R694" s="45"/>
      <c r="T694" s="45"/>
      <c r="V694" s="45"/>
    </row>
    <row r="695">
      <c r="O695" s="41"/>
      <c r="P695" s="45"/>
      <c r="R695" s="45"/>
      <c r="T695" s="45"/>
      <c r="V695" s="45"/>
    </row>
    <row r="696">
      <c r="O696" s="41"/>
      <c r="P696" s="45"/>
      <c r="R696" s="45"/>
      <c r="T696" s="45"/>
      <c r="V696" s="45"/>
    </row>
    <row r="697">
      <c r="O697" s="41"/>
      <c r="P697" s="45"/>
      <c r="R697" s="45"/>
      <c r="T697" s="45"/>
      <c r="V697" s="45"/>
    </row>
    <row r="698">
      <c r="O698" s="41"/>
      <c r="P698" s="45"/>
      <c r="R698" s="45"/>
      <c r="T698" s="45"/>
      <c r="V698" s="45"/>
    </row>
    <row r="699">
      <c r="O699" s="41"/>
      <c r="P699" s="45"/>
      <c r="R699" s="45"/>
      <c r="T699" s="45"/>
      <c r="V699" s="45"/>
    </row>
    <row r="700">
      <c r="O700" s="41"/>
      <c r="P700" s="45"/>
      <c r="R700" s="45"/>
      <c r="T700" s="45"/>
      <c r="V700" s="45"/>
    </row>
    <row r="701">
      <c r="O701" s="41"/>
      <c r="P701" s="45"/>
      <c r="R701" s="45"/>
      <c r="T701" s="45"/>
      <c r="V701" s="45"/>
    </row>
    <row r="702">
      <c r="O702" s="41"/>
      <c r="P702" s="45"/>
      <c r="R702" s="45"/>
      <c r="T702" s="45"/>
      <c r="V702" s="45"/>
    </row>
    <row r="703">
      <c r="O703" s="41"/>
      <c r="P703" s="45"/>
      <c r="R703" s="45"/>
      <c r="T703" s="45"/>
      <c r="V703" s="45"/>
    </row>
    <row r="704">
      <c r="O704" s="41"/>
      <c r="P704" s="45"/>
      <c r="R704" s="45"/>
      <c r="T704" s="45"/>
      <c r="V704" s="45"/>
    </row>
    <row r="705">
      <c r="O705" s="41"/>
      <c r="P705" s="45"/>
      <c r="R705" s="45"/>
      <c r="T705" s="45"/>
      <c r="V705" s="45"/>
    </row>
    <row r="706">
      <c r="O706" s="41"/>
      <c r="P706" s="45"/>
      <c r="R706" s="45"/>
      <c r="T706" s="45"/>
      <c r="V706" s="45"/>
    </row>
    <row r="707">
      <c r="O707" s="41"/>
      <c r="P707" s="45"/>
      <c r="R707" s="45"/>
      <c r="T707" s="45"/>
      <c r="V707" s="45"/>
    </row>
    <row r="708">
      <c r="O708" s="41"/>
      <c r="P708" s="45"/>
      <c r="R708" s="45"/>
      <c r="T708" s="45"/>
      <c r="V708" s="45"/>
    </row>
    <row r="709">
      <c r="O709" s="41"/>
      <c r="P709" s="45"/>
      <c r="R709" s="45"/>
      <c r="T709" s="45"/>
      <c r="V709" s="45"/>
    </row>
    <row r="710">
      <c r="O710" s="41"/>
      <c r="P710" s="45"/>
      <c r="R710" s="45"/>
      <c r="T710" s="45"/>
      <c r="V710" s="45"/>
    </row>
    <row r="711">
      <c r="O711" s="41"/>
      <c r="P711" s="45"/>
      <c r="R711" s="45"/>
      <c r="T711" s="45"/>
      <c r="V711" s="45"/>
    </row>
    <row r="712">
      <c r="O712" s="41"/>
      <c r="P712" s="45"/>
      <c r="R712" s="45"/>
      <c r="T712" s="45"/>
      <c r="V712" s="45"/>
    </row>
    <row r="713">
      <c r="O713" s="41"/>
      <c r="P713" s="45"/>
      <c r="R713" s="45"/>
      <c r="T713" s="45"/>
      <c r="V713" s="45"/>
    </row>
    <row r="714">
      <c r="O714" s="41"/>
      <c r="P714" s="45"/>
      <c r="R714" s="45"/>
      <c r="T714" s="45"/>
      <c r="V714" s="45"/>
    </row>
    <row r="715">
      <c r="O715" s="41"/>
      <c r="P715" s="45"/>
      <c r="R715" s="45"/>
      <c r="T715" s="45"/>
      <c r="V715" s="45"/>
    </row>
    <row r="716">
      <c r="O716" s="41"/>
      <c r="P716" s="45"/>
      <c r="R716" s="45"/>
      <c r="T716" s="45"/>
      <c r="V716" s="45"/>
    </row>
    <row r="717">
      <c r="O717" s="41"/>
      <c r="P717" s="45"/>
      <c r="R717" s="45"/>
      <c r="T717" s="45"/>
      <c r="V717" s="45"/>
    </row>
    <row r="718">
      <c r="O718" s="41"/>
      <c r="P718" s="45"/>
      <c r="R718" s="45"/>
      <c r="T718" s="45"/>
      <c r="V718" s="45"/>
    </row>
    <row r="719">
      <c r="O719" s="41"/>
      <c r="P719" s="45"/>
      <c r="R719" s="45"/>
      <c r="T719" s="45"/>
      <c r="V719" s="45"/>
    </row>
    <row r="720">
      <c r="O720" s="41"/>
      <c r="P720" s="45"/>
      <c r="R720" s="45"/>
      <c r="T720" s="45"/>
      <c r="V720" s="45"/>
    </row>
    <row r="721">
      <c r="O721" s="41"/>
      <c r="P721" s="45"/>
      <c r="R721" s="45"/>
      <c r="T721" s="45"/>
      <c r="V721" s="45"/>
    </row>
    <row r="722">
      <c r="O722" s="41"/>
      <c r="P722" s="45"/>
      <c r="R722" s="45"/>
      <c r="T722" s="45"/>
      <c r="V722" s="45"/>
    </row>
    <row r="723">
      <c r="O723" s="41"/>
      <c r="P723" s="45"/>
      <c r="R723" s="45"/>
      <c r="T723" s="45"/>
      <c r="V723" s="45"/>
    </row>
    <row r="724">
      <c r="O724" s="41"/>
      <c r="P724" s="45"/>
      <c r="R724" s="45"/>
      <c r="T724" s="45"/>
      <c r="V724" s="45"/>
    </row>
    <row r="725">
      <c r="O725" s="41"/>
      <c r="P725" s="45"/>
      <c r="R725" s="45"/>
      <c r="T725" s="45"/>
      <c r="V725" s="45"/>
    </row>
    <row r="726">
      <c r="O726" s="41"/>
      <c r="P726" s="45"/>
      <c r="R726" s="45"/>
      <c r="T726" s="45"/>
      <c r="V726" s="45"/>
    </row>
    <row r="727">
      <c r="O727" s="41"/>
      <c r="P727" s="45"/>
      <c r="R727" s="45"/>
      <c r="T727" s="45"/>
      <c r="V727" s="45"/>
    </row>
    <row r="728">
      <c r="O728" s="41"/>
      <c r="P728" s="45"/>
      <c r="R728" s="45"/>
      <c r="T728" s="45"/>
      <c r="V728" s="45"/>
    </row>
    <row r="729">
      <c r="O729" s="41"/>
      <c r="P729" s="45"/>
      <c r="R729" s="45"/>
      <c r="T729" s="45"/>
      <c r="V729" s="45"/>
    </row>
    <row r="730">
      <c r="O730" s="41"/>
      <c r="P730" s="45"/>
      <c r="R730" s="45"/>
      <c r="T730" s="45"/>
      <c r="V730" s="45"/>
    </row>
    <row r="731">
      <c r="O731" s="41"/>
      <c r="P731" s="45"/>
      <c r="R731" s="45"/>
      <c r="T731" s="45"/>
      <c r="V731" s="45"/>
    </row>
    <row r="732">
      <c r="O732" s="41"/>
      <c r="P732" s="45"/>
      <c r="R732" s="45"/>
      <c r="T732" s="45"/>
      <c r="V732" s="45"/>
    </row>
    <row r="733">
      <c r="O733" s="41"/>
      <c r="P733" s="45"/>
      <c r="R733" s="45"/>
      <c r="T733" s="45"/>
      <c r="V733" s="45"/>
    </row>
    <row r="734">
      <c r="O734" s="41"/>
      <c r="P734" s="45"/>
      <c r="R734" s="45"/>
      <c r="T734" s="45"/>
      <c r="V734" s="45"/>
    </row>
    <row r="735">
      <c r="O735" s="41"/>
      <c r="P735" s="45"/>
      <c r="R735" s="45"/>
      <c r="T735" s="45"/>
      <c r="V735" s="45"/>
    </row>
    <row r="736">
      <c r="O736" s="41"/>
      <c r="P736" s="45"/>
      <c r="R736" s="45"/>
      <c r="T736" s="45"/>
      <c r="V736" s="45"/>
    </row>
    <row r="737">
      <c r="O737" s="41"/>
      <c r="P737" s="45"/>
      <c r="R737" s="45"/>
      <c r="T737" s="45"/>
      <c r="V737" s="45"/>
    </row>
    <row r="738">
      <c r="O738" s="41"/>
      <c r="P738" s="45"/>
      <c r="R738" s="45"/>
      <c r="T738" s="45"/>
      <c r="V738" s="45"/>
    </row>
    <row r="739">
      <c r="O739" s="41"/>
      <c r="P739" s="45"/>
      <c r="R739" s="45"/>
      <c r="T739" s="45"/>
      <c r="V739" s="45"/>
    </row>
    <row r="740">
      <c r="O740" s="41"/>
      <c r="P740" s="45"/>
      <c r="R740" s="45"/>
      <c r="T740" s="45"/>
      <c r="V740" s="45"/>
    </row>
    <row r="741">
      <c r="O741" s="41"/>
      <c r="P741" s="45"/>
      <c r="R741" s="45"/>
      <c r="T741" s="45"/>
      <c r="V741" s="45"/>
    </row>
    <row r="742">
      <c r="O742" s="41"/>
      <c r="P742" s="45"/>
      <c r="R742" s="45"/>
      <c r="T742" s="45"/>
      <c r="V742" s="45"/>
    </row>
    <row r="743">
      <c r="O743" s="41"/>
      <c r="P743" s="45"/>
      <c r="R743" s="45"/>
      <c r="T743" s="45"/>
      <c r="V743" s="45"/>
    </row>
    <row r="744">
      <c r="O744" s="41"/>
      <c r="P744" s="45"/>
      <c r="R744" s="45"/>
      <c r="T744" s="45"/>
      <c r="V744" s="45"/>
    </row>
    <row r="745">
      <c r="O745" s="41"/>
      <c r="P745" s="45"/>
      <c r="R745" s="45"/>
      <c r="T745" s="45"/>
      <c r="V745" s="45"/>
    </row>
    <row r="746">
      <c r="O746" s="41"/>
      <c r="P746" s="45"/>
      <c r="R746" s="45"/>
      <c r="T746" s="45"/>
      <c r="V746" s="45"/>
    </row>
    <row r="747">
      <c r="O747" s="41"/>
      <c r="P747" s="45"/>
      <c r="R747" s="45"/>
      <c r="T747" s="45"/>
      <c r="V747" s="45"/>
    </row>
    <row r="748">
      <c r="O748" s="41"/>
      <c r="P748" s="45"/>
      <c r="R748" s="45"/>
      <c r="T748" s="45"/>
      <c r="V748" s="45"/>
    </row>
    <row r="749">
      <c r="O749" s="41"/>
      <c r="P749" s="45"/>
      <c r="R749" s="45"/>
      <c r="T749" s="45"/>
      <c r="V749" s="45"/>
    </row>
    <row r="750">
      <c r="O750" s="41"/>
      <c r="P750" s="45"/>
      <c r="R750" s="45"/>
      <c r="T750" s="45"/>
      <c r="V750" s="45"/>
    </row>
    <row r="751">
      <c r="O751" s="41"/>
      <c r="P751" s="45"/>
      <c r="R751" s="45"/>
      <c r="T751" s="45"/>
      <c r="V751" s="45"/>
    </row>
    <row r="752">
      <c r="O752" s="41"/>
      <c r="P752" s="45"/>
      <c r="R752" s="45"/>
      <c r="T752" s="45"/>
      <c r="V752" s="45"/>
    </row>
    <row r="753">
      <c r="O753" s="41"/>
      <c r="P753" s="45"/>
      <c r="R753" s="45"/>
      <c r="T753" s="45"/>
      <c r="V753" s="45"/>
    </row>
    <row r="754">
      <c r="O754" s="41"/>
      <c r="P754" s="45"/>
      <c r="R754" s="45"/>
      <c r="T754" s="45"/>
      <c r="V754" s="45"/>
    </row>
    <row r="755">
      <c r="O755" s="41"/>
      <c r="P755" s="45"/>
      <c r="R755" s="45"/>
      <c r="T755" s="45"/>
      <c r="V755" s="45"/>
    </row>
    <row r="756">
      <c r="O756" s="41"/>
      <c r="P756" s="45"/>
      <c r="R756" s="45"/>
      <c r="T756" s="45"/>
      <c r="V756" s="45"/>
    </row>
    <row r="757">
      <c r="O757" s="41"/>
      <c r="P757" s="45"/>
      <c r="R757" s="45"/>
      <c r="T757" s="45"/>
      <c r="V757" s="45"/>
    </row>
    <row r="758">
      <c r="O758" s="41"/>
      <c r="P758" s="45"/>
      <c r="R758" s="45"/>
      <c r="T758" s="45"/>
      <c r="V758" s="45"/>
    </row>
    <row r="759">
      <c r="O759" s="41"/>
      <c r="P759" s="45"/>
      <c r="R759" s="45"/>
      <c r="T759" s="45"/>
      <c r="V759" s="45"/>
    </row>
    <row r="760">
      <c r="O760" s="41"/>
      <c r="P760" s="45"/>
      <c r="R760" s="45"/>
      <c r="T760" s="45"/>
      <c r="V760" s="45"/>
    </row>
    <row r="761">
      <c r="O761" s="41"/>
      <c r="P761" s="45"/>
      <c r="R761" s="45"/>
      <c r="T761" s="45"/>
      <c r="V761" s="45"/>
    </row>
    <row r="762">
      <c r="O762" s="41"/>
      <c r="P762" s="45"/>
      <c r="R762" s="45"/>
      <c r="T762" s="45"/>
      <c r="V762" s="45"/>
    </row>
    <row r="763">
      <c r="O763" s="41"/>
      <c r="P763" s="45"/>
      <c r="R763" s="45"/>
      <c r="T763" s="45"/>
      <c r="V763" s="45"/>
    </row>
    <row r="764">
      <c r="O764" s="41"/>
      <c r="P764" s="45"/>
      <c r="R764" s="45"/>
      <c r="T764" s="45"/>
      <c r="V764" s="45"/>
    </row>
    <row r="765">
      <c r="O765" s="41"/>
      <c r="P765" s="45"/>
      <c r="R765" s="45"/>
      <c r="T765" s="45"/>
      <c r="V765" s="45"/>
    </row>
    <row r="766">
      <c r="O766" s="41"/>
      <c r="P766" s="45"/>
      <c r="R766" s="45"/>
      <c r="T766" s="45"/>
      <c r="V766" s="45"/>
    </row>
    <row r="767">
      <c r="O767" s="41"/>
      <c r="P767" s="45"/>
      <c r="R767" s="45"/>
      <c r="T767" s="45"/>
      <c r="V767" s="45"/>
    </row>
    <row r="768">
      <c r="O768" s="41"/>
      <c r="P768" s="45"/>
      <c r="R768" s="45"/>
      <c r="T768" s="45"/>
      <c r="V768" s="45"/>
    </row>
    <row r="769">
      <c r="O769" s="41"/>
      <c r="P769" s="45"/>
      <c r="R769" s="45"/>
      <c r="T769" s="45"/>
      <c r="V769" s="45"/>
    </row>
    <row r="770">
      <c r="O770" s="41"/>
      <c r="P770" s="45"/>
      <c r="R770" s="45"/>
      <c r="T770" s="45"/>
      <c r="V770" s="45"/>
    </row>
    <row r="771">
      <c r="O771" s="41"/>
      <c r="P771" s="45"/>
      <c r="R771" s="45"/>
      <c r="T771" s="45"/>
      <c r="V771" s="45"/>
    </row>
    <row r="772">
      <c r="O772" s="41"/>
      <c r="P772" s="45"/>
      <c r="R772" s="45"/>
      <c r="T772" s="45"/>
      <c r="V772" s="45"/>
    </row>
    <row r="773">
      <c r="O773" s="41"/>
      <c r="P773" s="45"/>
      <c r="R773" s="45"/>
      <c r="T773" s="45"/>
      <c r="V773" s="45"/>
    </row>
    <row r="774">
      <c r="O774" s="41"/>
      <c r="P774" s="45"/>
      <c r="R774" s="45"/>
      <c r="T774" s="45"/>
      <c r="V774" s="45"/>
    </row>
    <row r="775">
      <c r="O775" s="41"/>
      <c r="P775" s="45"/>
      <c r="R775" s="45"/>
      <c r="T775" s="45"/>
      <c r="V775" s="45"/>
    </row>
    <row r="776">
      <c r="O776" s="41"/>
      <c r="P776" s="45"/>
      <c r="R776" s="45"/>
      <c r="T776" s="45"/>
      <c r="V776" s="45"/>
    </row>
    <row r="777">
      <c r="O777" s="41"/>
      <c r="P777" s="45"/>
      <c r="R777" s="45"/>
      <c r="T777" s="45"/>
      <c r="V777" s="45"/>
    </row>
    <row r="778">
      <c r="O778" s="41"/>
      <c r="P778" s="45"/>
      <c r="R778" s="45"/>
      <c r="T778" s="45"/>
      <c r="V778" s="45"/>
    </row>
    <row r="779">
      <c r="O779" s="41"/>
      <c r="P779" s="45"/>
      <c r="R779" s="45"/>
      <c r="T779" s="45"/>
      <c r="V779" s="45"/>
    </row>
    <row r="780">
      <c r="O780" s="41"/>
      <c r="P780" s="45"/>
      <c r="R780" s="45"/>
      <c r="T780" s="45"/>
      <c r="V780" s="45"/>
    </row>
    <row r="781">
      <c r="O781" s="41"/>
      <c r="P781" s="45"/>
      <c r="R781" s="45"/>
      <c r="T781" s="45"/>
      <c r="V781" s="45"/>
    </row>
    <row r="782">
      <c r="O782" s="41"/>
      <c r="P782" s="45"/>
      <c r="R782" s="45"/>
      <c r="T782" s="45"/>
      <c r="V782" s="45"/>
    </row>
    <row r="783">
      <c r="O783" s="41"/>
      <c r="P783" s="45"/>
      <c r="R783" s="45"/>
      <c r="T783" s="45"/>
      <c r="V783" s="45"/>
    </row>
    <row r="784">
      <c r="O784" s="41"/>
      <c r="P784" s="45"/>
      <c r="R784" s="45"/>
      <c r="T784" s="45"/>
      <c r="V784" s="45"/>
    </row>
    <row r="785">
      <c r="O785" s="41"/>
      <c r="P785" s="45"/>
      <c r="R785" s="45"/>
      <c r="T785" s="45"/>
      <c r="V785" s="45"/>
    </row>
    <row r="786">
      <c r="O786" s="41"/>
      <c r="P786" s="45"/>
      <c r="R786" s="45"/>
      <c r="T786" s="45"/>
      <c r="V786" s="45"/>
    </row>
    <row r="787">
      <c r="O787" s="41"/>
      <c r="P787" s="45"/>
      <c r="R787" s="45"/>
      <c r="T787" s="45"/>
      <c r="V787" s="45"/>
    </row>
    <row r="788">
      <c r="O788" s="41"/>
      <c r="P788" s="45"/>
      <c r="R788" s="45"/>
      <c r="T788" s="45"/>
      <c r="V788" s="45"/>
    </row>
    <row r="789">
      <c r="O789" s="41"/>
      <c r="P789" s="45"/>
      <c r="R789" s="45"/>
      <c r="T789" s="45"/>
      <c r="V789" s="45"/>
    </row>
    <row r="790">
      <c r="O790" s="41"/>
      <c r="P790" s="45"/>
      <c r="R790" s="45"/>
      <c r="T790" s="45"/>
      <c r="V790" s="45"/>
    </row>
    <row r="791">
      <c r="O791" s="41"/>
      <c r="P791" s="45"/>
      <c r="R791" s="45"/>
      <c r="T791" s="45"/>
      <c r="V791" s="45"/>
    </row>
    <row r="792">
      <c r="O792" s="41"/>
      <c r="P792" s="45"/>
      <c r="R792" s="45"/>
      <c r="T792" s="45"/>
      <c r="V792" s="45"/>
    </row>
    <row r="793">
      <c r="O793" s="41"/>
      <c r="P793" s="45"/>
      <c r="R793" s="45"/>
      <c r="T793" s="45"/>
      <c r="V793" s="45"/>
    </row>
    <row r="794">
      <c r="O794" s="41"/>
      <c r="P794" s="45"/>
      <c r="R794" s="45"/>
      <c r="T794" s="45"/>
      <c r="V794" s="45"/>
    </row>
    <row r="795">
      <c r="O795" s="41"/>
      <c r="P795" s="45"/>
      <c r="R795" s="45"/>
      <c r="T795" s="45"/>
      <c r="V795" s="45"/>
    </row>
    <row r="796">
      <c r="O796" s="41"/>
      <c r="P796" s="45"/>
      <c r="R796" s="45"/>
      <c r="T796" s="45"/>
      <c r="V796" s="45"/>
    </row>
    <row r="797">
      <c r="O797" s="41"/>
      <c r="P797" s="45"/>
      <c r="R797" s="45"/>
      <c r="T797" s="45"/>
      <c r="V797" s="45"/>
    </row>
    <row r="798">
      <c r="O798" s="41"/>
      <c r="P798" s="45"/>
      <c r="R798" s="45"/>
      <c r="T798" s="45"/>
      <c r="V798" s="45"/>
    </row>
    <row r="799">
      <c r="O799" s="41"/>
      <c r="P799" s="45"/>
      <c r="R799" s="45"/>
      <c r="T799" s="45"/>
      <c r="V799" s="45"/>
    </row>
    <row r="800">
      <c r="O800" s="41"/>
      <c r="P800" s="45"/>
      <c r="R800" s="45"/>
      <c r="T800" s="45"/>
      <c r="V800" s="45"/>
    </row>
    <row r="801">
      <c r="O801" s="41"/>
      <c r="P801" s="45"/>
      <c r="R801" s="45"/>
      <c r="T801" s="45"/>
      <c r="V801" s="45"/>
    </row>
    <row r="802">
      <c r="O802" s="41"/>
      <c r="P802" s="45"/>
      <c r="R802" s="45"/>
      <c r="T802" s="45"/>
      <c r="V802" s="45"/>
    </row>
    <row r="803">
      <c r="O803" s="41"/>
      <c r="P803" s="45"/>
      <c r="R803" s="45"/>
      <c r="T803" s="45"/>
      <c r="V803" s="45"/>
    </row>
    <row r="804">
      <c r="O804" s="41"/>
      <c r="P804" s="45"/>
      <c r="R804" s="45"/>
      <c r="T804" s="45"/>
      <c r="V804" s="45"/>
    </row>
    <row r="805">
      <c r="O805" s="41"/>
      <c r="P805" s="45"/>
      <c r="R805" s="45"/>
      <c r="T805" s="45"/>
      <c r="V805" s="45"/>
    </row>
    <row r="806">
      <c r="O806" s="41"/>
      <c r="P806" s="45"/>
      <c r="R806" s="45"/>
      <c r="T806" s="45"/>
      <c r="V806" s="45"/>
    </row>
    <row r="807">
      <c r="O807" s="41"/>
      <c r="P807" s="45"/>
      <c r="R807" s="45"/>
      <c r="T807" s="45"/>
      <c r="V807" s="45"/>
    </row>
    <row r="808">
      <c r="O808" s="41"/>
      <c r="P808" s="45"/>
      <c r="R808" s="45"/>
      <c r="T808" s="45"/>
      <c r="V808" s="45"/>
    </row>
    <row r="809">
      <c r="O809" s="41"/>
      <c r="P809" s="45"/>
      <c r="R809" s="45"/>
      <c r="T809" s="45"/>
      <c r="V809" s="45"/>
    </row>
    <row r="810">
      <c r="O810" s="41"/>
      <c r="P810" s="45"/>
      <c r="R810" s="45"/>
      <c r="T810" s="45"/>
      <c r="V810" s="45"/>
    </row>
    <row r="811">
      <c r="O811" s="41"/>
      <c r="P811" s="45"/>
      <c r="R811" s="45"/>
      <c r="T811" s="45"/>
      <c r="V811" s="45"/>
    </row>
    <row r="812">
      <c r="O812" s="41"/>
      <c r="P812" s="45"/>
      <c r="R812" s="45"/>
      <c r="T812" s="45"/>
      <c r="V812" s="45"/>
    </row>
    <row r="813">
      <c r="O813" s="41"/>
      <c r="P813" s="45"/>
      <c r="R813" s="45"/>
      <c r="T813" s="45"/>
      <c r="V813" s="45"/>
    </row>
    <row r="814">
      <c r="O814" s="41"/>
      <c r="P814" s="45"/>
      <c r="R814" s="45"/>
      <c r="T814" s="45"/>
      <c r="V814" s="45"/>
    </row>
    <row r="815">
      <c r="O815" s="41"/>
      <c r="P815" s="45"/>
      <c r="R815" s="45"/>
      <c r="T815" s="45"/>
      <c r="V815" s="45"/>
    </row>
    <row r="816">
      <c r="O816" s="41"/>
      <c r="P816" s="45"/>
      <c r="R816" s="45"/>
      <c r="T816" s="45"/>
      <c r="V816" s="45"/>
    </row>
    <row r="817">
      <c r="O817" s="41"/>
      <c r="P817" s="45"/>
      <c r="R817" s="45"/>
      <c r="T817" s="45"/>
      <c r="V817" s="45"/>
    </row>
    <row r="818">
      <c r="O818" s="41"/>
      <c r="P818" s="45"/>
      <c r="R818" s="45"/>
      <c r="T818" s="45"/>
      <c r="V818" s="45"/>
    </row>
    <row r="819">
      <c r="O819" s="41"/>
      <c r="P819" s="45"/>
      <c r="R819" s="45"/>
      <c r="T819" s="45"/>
      <c r="V819" s="45"/>
    </row>
    <row r="820">
      <c r="O820" s="41"/>
      <c r="P820" s="45"/>
      <c r="R820" s="45"/>
      <c r="T820" s="45"/>
      <c r="V820" s="45"/>
    </row>
    <row r="821">
      <c r="O821" s="41"/>
      <c r="P821" s="45"/>
      <c r="R821" s="45"/>
      <c r="T821" s="45"/>
      <c r="V821" s="45"/>
    </row>
    <row r="822">
      <c r="O822" s="41"/>
      <c r="P822" s="45"/>
      <c r="R822" s="45"/>
      <c r="T822" s="45"/>
      <c r="V822" s="45"/>
    </row>
    <row r="823">
      <c r="O823" s="41"/>
      <c r="P823" s="45"/>
      <c r="R823" s="45"/>
      <c r="T823" s="45"/>
      <c r="V823" s="45"/>
    </row>
    <row r="824">
      <c r="O824" s="41"/>
      <c r="P824" s="45"/>
      <c r="R824" s="45"/>
      <c r="T824" s="45"/>
      <c r="V824" s="45"/>
    </row>
    <row r="825">
      <c r="O825" s="41"/>
      <c r="P825" s="45"/>
      <c r="R825" s="45"/>
      <c r="T825" s="45"/>
      <c r="V825" s="45"/>
    </row>
    <row r="826">
      <c r="O826" s="41"/>
      <c r="P826" s="45"/>
      <c r="R826" s="45"/>
      <c r="T826" s="45"/>
      <c r="V826" s="45"/>
    </row>
    <row r="827">
      <c r="O827" s="41"/>
      <c r="P827" s="45"/>
      <c r="R827" s="45"/>
      <c r="T827" s="45"/>
      <c r="V827" s="45"/>
    </row>
    <row r="828">
      <c r="O828" s="41"/>
      <c r="P828" s="45"/>
      <c r="R828" s="45"/>
      <c r="T828" s="45"/>
      <c r="V828" s="45"/>
    </row>
    <row r="829">
      <c r="O829" s="41"/>
      <c r="P829" s="45"/>
      <c r="R829" s="45"/>
      <c r="T829" s="45"/>
      <c r="V829" s="45"/>
    </row>
    <row r="830">
      <c r="O830" s="41"/>
      <c r="P830" s="45"/>
      <c r="R830" s="45"/>
      <c r="T830" s="45"/>
      <c r="V830" s="45"/>
    </row>
    <row r="831">
      <c r="O831" s="41"/>
      <c r="P831" s="45"/>
      <c r="R831" s="45"/>
      <c r="T831" s="45"/>
      <c r="V831" s="45"/>
    </row>
    <row r="832">
      <c r="O832" s="41"/>
      <c r="P832" s="45"/>
      <c r="R832" s="45"/>
      <c r="T832" s="45"/>
      <c r="V832" s="45"/>
    </row>
    <row r="833">
      <c r="O833" s="41"/>
      <c r="P833" s="45"/>
      <c r="R833" s="45"/>
      <c r="T833" s="45"/>
      <c r="V833" s="45"/>
    </row>
    <row r="834">
      <c r="O834" s="41"/>
      <c r="P834" s="45"/>
      <c r="R834" s="45"/>
      <c r="T834" s="45"/>
      <c r="V834" s="45"/>
    </row>
    <row r="835">
      <c r="O835" s="41"/>
      <c r="P835" s="45"/>
      <c r="R835" s="45"/>
      <c r="T835" s="45"/>
      <c r="V835" s="45"/>
    </row>
    <row r="836">
      <c r="O836" s="41"/>
      <c r="P836" s="45"/>
      <c r="R836" s="45"/>
      <c r="T836" s="45"/>
      <c r="V836" s="45"/>
    </row>
    <row r="837">
      <c r="O837" s="41"/>
      <c r="P837" s="45"/>
      <c r="R837" s="45"/>
      <c r="T837" s="45"/>
      <c r="V837" s="45"/>
    </row>
    <row r="838">
      <c r="O838" s="41"/>
      <c r="P838" s="45"/>
      <c r="R838" s="45"/>
      <c r="T838" s="45"/>
      <c r="V838" s="45"/>
    </row>
    <row r="839">
      <c r="O839" s="41"/>
      <c r="P839" s="45"/>
      <c r="R839" s="45"/>
      <c r="T839" s="45"/>
      <c r="V839" s="45"/>
    </row>
    <row r="840">
      <c r="O840" s="41"/>
      <c r="P840" s="45"/>
      <c r="R840" s="45"/>
      <c r="T840" s="45"/>
      <c r="V840" s="45"/>
    </row>
    <row r="841">
      <c r="O841" s="41"/>
      <c r="P841" s="45"/>
      <c r="R841" s="45"/>
      <c r="T841" s="45"/>
      <c r="V841" s="45"/>
    </row>
    <row r="842">
      <c r="O842" s="41"/>
      <c r="P842" s="45"/>
      <c r="R842" s="45"/>
      <c r="T842" s="45"/>
      <c r="V842" s="45"/>
    </row>
    <row r="843">
      <c r="O843" s="41"/>
      <c r="P843" s="45"/>
      <c r="R843" s="45"/>
      <c r="T843" s="45"/>
      <c r="V843" s="45"/>
    </row>
    <row r="844">
      <c r="O844" s="41"/>
      <c r="P844" s="45"/>
      <c r="R844" s="45"/>
      <c r="T844" s="45"/>
      <c r="V844" s="45"/>
    </row>
    <row r="845">
      <c r="O845" s="41"/>
      <c r="P845" s="45"/>
      <c r="R845" s="45"/>
      <c r="T845" s="45"/>
      <c r="V845" s="45"/>
    </row>
    <row r="846">
      <c r="O846" s="41"/>
      <c r="P846" s="45"/>
      <c r="R846" s="45"/>
      <c r="T846" s="45"/>
      <c r="V846" s="45"/>
    </row>
    <row r="847">
      <c r="O847" s="41"/>
      <c r="P847" s="45"/>
      <c r="R847" s="45"/>
      <c r="T847" s="45"/>
      <c r="V847" s="45"/>
    </row>
    <row r="848">
      <c r="O848" s="41"/>
      <c r="P848" s="45"/>
      <c r="R848" s="45"/>
      <c r="T848" s="45"/>
      <c r="V848" s="45"/>
    </row>
    <row r="849">
      <c r="O849" s="41"/>
      <c r="P849" s="45"/>
      <c r="R849" s="45"/>
      <c r="T849" s="45"/>
      <c r="V849" s="45"/>
    </row>
    <row r="850">
      <c r="O850" s="41"/>
      <c r="P850" s="45"/>
      <c r="R850" s="45"/>
      <c r="T850" s="45"/>
      <c r="V850" s="45"/>
    </row>
    <row r="851">
      <c r="O851" s="41"/>
      <c r="P851" s="45"/>
      <c r="R851" s="45"/>
      <c r="T851" s="45"/>
      <c r="V851" s="45"/>
    </row>
    <row r="852">
      <c r="O852" s="41"/>
      <c r="P852" s="45"/>
      <c r="R852" s="45"/>
      <c r="T852" s="45"/>
      <c r="V852" s="45"/>
    </row>
    <row r="853">
      <c r="O853" s="41"/>
      <c r="P853" s="45"/>
      <c r="R853" s="45"/>
      <c r="T853" s="45"/>
      <c r="V853" s="45"/>
    </row>
    <row r="854">
      <c r="O854" s="41"/>
      <c r="P854" s="45"/>
      <c r="R854" s="45"/>
      <c r="T854" s="45"/>
      <c r="V854" s="45"/>
    </row>
    <row r="855">
      <c r="O855" s="41"/>
      <c r="P855" s="45"/>
      <c r="R855" s="45"/>
      <c r="T855" s="45"/>
      <c r="V855" s="45"/>
    </row>
    <row r="856">
      <c r="O856" s="41"/>
      <c r="P856" s="45"/>
      <c r="R856" s="45"/>
      <c r="T856" s="45"/>
      <c r="V856" s="45"/>
    </row>
    <row r="857">
      <c r="O857" s="41"/>
      <c r="P857" s="45"/>
      <c r="R857" s="45"/>
      <c r="T857" s="45"/>
      <c r="V857" s="45"/>
    </row>
    <row r="858">
      <c r="O858" s="41"/>
      <c r="P858" s="45"/>
      <c r="R858" s="45"/>
      <c r="T858" s="45"/>
      <c r="V858" s="45"/>
    </row>
    <row r="859">
      <c r="O859" s="41"/>
      <c r="P859" s="45"/>
      <c r="R859" s="45"/>
      <c r="T859" s="45"/>
      <c r="V859" s="45"/>
    </row>
    <row r="860">
      <c r="O860" s="41"/>
      <c r="P860" s="45"/>
      <c r="R860" s="45"/>
      <c r="T860" s="45"/>
      <c r="V860" s="45"/>
    </row>
    <row r="861">
      <c r="O861" s="41"/>
      <c r="P861" s="45"/>
      <c r="R861" s="45"/>
      <c r="T861" s="45"/>
      <c r="V861" s="45"/>
    </row>
    <row r="862">
      <c r="O862" s="41"/>
      <c r="P862" s="45"/>
      <c r="R862" s="45"/>
      <c r="T862" s="45"/>
      <c r="V862" s="45"/>
    </row>
    <row r="863">
      <c r="O863" s="41"/>
      <c r="P863" s="45"/>
      <c r="R863" s="45"/>
      <c r="T863" s="45"/>
      <c r="V863" s="45"/>
    </row>
    <row r="864">
      <c r="O864" s="41"/>
      <c r="P864" s="45"/>
      <c r="R864" s="45"/>
      <c r="T864" s="45"/>
      <c r="V864" s="45"/>
    </row>
    <row r="865">
      <c r="O865" s="41"/>
      <c r="P865" s="45"/>
      <c r="R865" s="45"/>
      <c r="T865" s="45"/>
      <c r="V865" s="45"/>
    </row>
    <row r="866">
      <c r="O866" s="41"/>
      <c r="P866" s="45"/>
      <c r="R866" s="45"/>
      <c r="T866" s="45"/>
      <c r="V866" s="45"/>
    </row>
    <row r="867">
      <c r="O867" s="41"/>
      <c r="P867" s="45"/>
      <c r="R867" s="45"/>
      <c r="T867" s="45"/>
      <c r="V867" s="45"/>
    </row>
    <row r="868">
      <c r="O868" s="41"/>
      <c r="P868" s="45"/>
      <c r="R868" s="45"/>
      <c r="T868" s="45"/>
      <c r="V868" s="45"/>
    </row>
    <row r="869">
      <c r="O869" s="41"/>
      <c r="P869" s="45"/>
      <c r="R869" s="45"/>
      <c r="T869" s="45"/>
      <c r="V869" s="45"/>
    </row>
    <row r="870">
      <c r="O870" s="41"/>
      <c r="P870" s="45"/>
      <c r="R870" s="45"/>
      <c r="T870" s="45"/>
      <c r="V870" s="45"/>
    </row>
    <row r="871">
      <c r="O871" s="41"/>
      <c r="P871" s="45"/>
      <c r="R871" s="45"/>
      <c r="T871" s="45"/>
      <c r="V871" s="45"/>
    </row>
    <row r="872">
      <c r="O872" s="41"/>
      <c r="P872" s="45"/>
      <c r="R872" s="45"/>
      <c r="T872" s="45"/>
      <c r="V872" s="45"/>
    </row>
    <row r="873">
      <c r="O873" s="41"/>
      <c r="P873" s="45"/>
      <c r="R873" s="45"/>
      <c r="T873" s="45"/>
      <c r="V873" s="45"/>
    </row>
    <row r="874">
      <c r="O874" s="41"/>
      <c r="P874" s="45"/>
      <c r="R874" s="45"/>
      <c r="T874" s="45"/>
      <c r="V874" s="45"/>
    </row>
    <row r="875">
      <c r="O875" s="41"/>
      <c r="P875" s="45"/>
      <c r="R875" s="45"/>
      <c r="T875" s="45"/>
      <c r="V875" s="45"/>
    </row>
    <row r="876">
      <c r="O876" s="41"/>
      <c r="P876" s="45"/>
      <c r="R876" s="45"/>
      <c r="T876" s="45"/>
      <c r="V876" s="45"/>
    </row>
    <row r="877">
      <c r="O877" s="41"/>
      <c r="P877" s="45"/>
      <c r="R877" s="45"/>
      <c r="T877" s="45"/>
      <c r="V877" s="45"/>
    </row>
    <row r="878">
      <c r="O878" s="41"/>
      <c r="P878" s="45"/>
      <c r="R878" s="45"/>
      <c r="T878" s="45"/>
      <c r="V878" s="45"/>
    </row>
    <row r="879">
      <c r="O879" s="41"/>
      <c r="P879" s="45"/>
      <c r="R879" s="45"/>
      <c r="T879" s="45"/>
      <c r="V879" s="45"/>
    </row>
    <row r="880">
      <c r="O880" s="41"/>
      <c r="P880" s="45"/>
      <c r="R880" s="45"/>
      <c r="T880" s="45"/>
      <c r="V880" s="45"/>
    </row>
    <row r="881">
      <c r="O881" s="41"/>
      <c r="P881" s="45"/>
      <c r="R881" s="45"/>
      <c r="T881" s="45"/>
      <c r="V881" s="45"/>
    </row>
    <row r="882">
      <c r="O882" s="41"/>
      <c r="P882" s="45"/>
      <c r="R882" s="45"/>
      <c r="T882" s="45"/>
      <c r="V882" s="45"/>
    </row>
    <row r="883">
      <c r="O883" s="41"/>
      <c r="P883" s="45"/>
      <c r="R883" s="45"/>
      <c r="T883" s="45"/>
      <c r="V883" s="45"/>
    </row>
    <row r="884">
      <c r="O884" s="41"/>
      <c r="P884" s="45"/>
      <c r="R884" s="45"/>
      <c r="T884" s="45"/>
      <c r="V884" s="45"/>
    </row>
    <row r="885">
      <c r="O885" s="41"/>
      <c r="P885" s="45"/>
      <c r="R885" s="45"/>
      <c r="T885" s="45"/>
      <c r="V885" s="45"/>
    </row>
    <row r="886">
      <c r="O886" s="41"/>
      <c r="P886" s="45"/>
      <c r="R886" s="45"/>
      <c r="T886" s="45"/>
      <c r="V886" s="45"/>
    </row>
    <row r="887">
      <c r="O887" s="41"/>
      <c r="P887" s="45"/>
      <c r="R887" s="45"/>
      <c r="T887" s="45"/>
      <c r="V887" s="45"/>
    </row>
    <row r="888">
      <c r="O888" s="41"/>
      <c r="P888" s="45"/>
      <c r="R888" s="45"/>
      <c r="T888" s="45"/>
      <c r="V888" s="45"/>
    </row>
    <row r="889">
      <c r="O889" s="41"/>
      <c r="P889" s="45"/>
      <c r="R889" s="45"/>
      <c r="T889" s="45"/>
      <c r="V889" s="45"/>
    </row>
    <row r="890">
      <c r="O890" s="41"/>
      <c r="P890" s="45"/>
      <c r="R890" s="45"/>
      <c r="T890" s="45"/>
      <c r="V890" s="45"/>
    </row>
    <row r="891">
      <c r="O891" s="41"/>
      <c r="P891" s="45"/>
      <c r="R891" s="45"/>
      <c r="T891" s="45"/>
      <c r="V891" s="45"/>
    </row>
    <row r="892">
      <c r="O892" s="41"/>
      <c r="P892" s="45"/>
      <c r="R892" s="45"/>
      <c r="T892" s="45"/>
      <c r="V892" s="45"/>
    </row>
    <row r="893">
      <c r="O893" s="41"/>
      <c r="P893" s="45"/>
      <c r="R893" s="45"/>
      <c r="T893" s="45"/>
      <c r="V893" s="45"/>
    </row>
    <row r="894">
      <c r="O894" s="41"/>
      <c r="P894" s="45"/>
      <c r="R894" s="45"/>
      <c r="T894" s="45"/>
      <c r="V894" s="45"/>
    </row>
    <row r="895">
      <c r="O895" s="41"/>
      <c r="P895" s="45"/>
      <c r="R895" s="45"/>
      <c r="T895" s="45"/>
      <c r="V895" s="45"/>
    </row>
    <row r="896">
      <c r="O896" s="41"/>
      <c r="P896" s="45"/>
      <c r="R896" s="45"/>
      <c r="T896" s="45"/>
      <c r="V896" s="45"/>
    </row>
    <row r="897">
      <c r="O897" s="41"/>
      <c r="P897" s="45"/>
      <c r="R897" s="45"/>
      <c r="T897" s="45"/>
      <c r="V897" s="45"/>
    </row>
    <row r="898">
      <c r="O898" s="41"/>
      <c r="P898" s="45"/>
      <c r="R898" s="45"/>
      <c r="T898" s="45"/>
      <c r="V898" s="45"/>
    </row>
    <row r="899">
      <c r="O899" s="41"/>
      <c r="P899" s="45"/>
      <c r="R899" s="45"/>
      <c r="T899" s="45"/>
      <c r="V899" s="45"/>
    </row>
    <row r="900">
      <c r="O900" s="41"/>
      <c r="P900" s="45"/>
      <c r="R900" s="45"/>
      <c r="T900" s="45"/>
      <c r="V900" s="45"/>
    </row>
    <row r="901">
      <c r="O901" s="41"/>
      <c r="P901" s="45"/>
      <c r="R901" s="45"/>
      <c r="T901" s="45"/>
      <c r="V901" s="45"/>
    </row>
    <row r="902">
      <c r="O902" s="41"/>
      <c r="P902" s="45"/>
      <c r="R902" s="45"/>
      <c r="T902" s="45"/>
      <c r="V902" s="45"/>
    </row>
    <row r="903">
      <c r="O903" s="41"/>
      <c r="P903" s="45"/>
      <c r="R903" s="45"/>
      <c r="T903" s="45"/>
      <c r="V903" s="45"/>
    </row>
    <row r="904">
      <c r="O904" s="41"/>
      <c r="P904" s="45"/>
      <c r="R904" s="45"/>
      <c r="T904" s="45"/>
      <c r="V904" s="45"/>
    </row>
    <row r="905">
      <c r="O905" s="41"/>
      <c r="P905" s="45"/>
      <c r="R905" s="45"/>
      <c r="T905" s="45"/>
      <c r="V905" s="45"/>
    </row>
    <row r="906">
      <c r="O906" s="41"/>
      <c r="P906" s="45"/>
      <c r="R906" s="45"/>
      <c r="T906" s="45"/>
      <c r="V906" s="45"/>
    </row>
    <row r="907">
      <c r="O907" s="41"/>
      <c r="P907" s="45"/>
      <c r="R907" s="45"/>
      <c r="T907" s="45"/>
      <c r="V907" s="45"/>
    </row>
    <row r="908">
      <c r="O908" s="41"/>
      <c r="P908" s="45"/>
      <c r="R908" s="45"/>
      <c r="T908" s="45"/>
      <c r="V908" s="45"/>
    </row>
    <row r="909">
      <c r="O909" s="41"/>
      <c r="P909" s="45"/>
      <c r="R909" s="45"/>
      <c r="T909" s="45"/>
      <c r="V909" s="45"/>
    </row>
    <row r="910">
      <c r="O910" s="41"/>
      <c r="P910" s="45"/>
      <c r="R910" s="45"/>
      <c r="T910" s="45"/>
      <c r="V910" s="45"/>
    </row>
    <row r="911">
      <c r="O911" s="41"/>
      <c r="P911" s="45"/>
      <c r="R911" s="45"/>
      <c r="T911" s="45"/>
      <c r="V911" s="45"/>
    </row>
    <row r="912">
      <c r="O912" s="41"/>
      <c r="P912" s="45"/>
      <c r="R912" s="45"/>
      <c r="T912" s="45"/>
      <c r="V912" s="45"/>
    </row>
    <row r="913">
      <c r="O913" s="41"/>
      <c r="P913" s="45"/>
      <c r="R913" s="45"/>
      <c r="T913" s="45"/>
      <c r="V913" s="45"/>
    </row>
    <row r="914">
      <c r="O914" s="41"/>
      <c r="P914" s="45"/>
      <c r="R914" s="45"/>
      <c r="T914" s="45"/>
      <c r="V914" s="45"/>
    </row>
    <row r="915">
      <c r="O915" s="41"/>
      <c r="P915" s="45"/>
      <c r="R915" s="45"/>
      <c r="T915" s="45"/>
      <c r="V915" s="45"/>
    </row>
    <row r="916">
      <c r="O916" s="41"/>
      <c r="P916" s="45"/>
      <c r="R916" s="45"/>
      <c r="T916" s="45"/>
      <c r="V916" s="45"/>
    </row>
    <row r="917">
      <c r="O917" s="41"/>
      <c r="P917" s="45"/>
      <c r="R917" s="45"/>
      <c r="T917" s="45"/>
      <c r="V917" s="45"/>
    </row>
    <row r="918">
      <c r="O918" s="41"/>
      <c r="P918" s="45"/>
      <c r="R918" s="45"/>
      <c r="T918" s="45"/>
      <c r="V918" s="45"/>
    </row>
    <row r="919">
      <c r="O919" s="41"/>
      <c r="P919" s="45"/>
      <c r="R919" s="45"/>
      <c r="T919" s="45"/>
      <c r="V919" s="45"/>
    </row>
    <row r="920">
      <c r="O920" s="41"/>
      <c r="P920" s="45"/>
      <c r="R920" s="45"/>
      <c r="T920" s="45"/>
      <c r="V920" s="45"/>
    </row>
    <row r="921">
      <c r="O921" s="41"/>
      <c r="P921" s="45"/>
      <c r="R921" s="45"/>
      <c r="T921" s="45"/>
      <c r="V921" s="45"/>
    </row>
    <row r="922">
      <c r="O922" s="41"/>
      <c r="P922" s="45"/>
      <c r="R922" s="45"/>
      <c r="T922" s="45"/>
      <c r="V922" s="45"/>
    </row>
    <row r="923">
      <c r="O923" s="41"/>
      <c r="P923" s="45"/>
      <c r="R923" s="45"/>
      <c r="T923" s="45"/>
      <c r="V923" s="45"/>
    </row>
    <row r="924">
      <c r="O924" s="41"/>
      <c r="P924" s="45"/>
      <c r="R924" s="45"/>
      <c r="T924" s="45"/>
      <c r="V924" s="45"/>
    </row>
    <row r="925">
      <c r="O925" s="41"/>
      <c r="P925" s="45"/>
      <c r="R925" s="45"/>
      <c r="T925" s="45"/>
      <c r="V925" s="45"/>
    </row>
    <row r="926">
      <c r="O926" s="41"/>
      <c r="P926" s="45"/>
      <c r="R926" s="45"/>
      <c r="T926" s="45"/>
      <c r="V926" s="45"/>
    </row>
    <row r="927">
      <c r="O927" s="41"/>
      <c r="P927" s="45"/>
      <c r="R927" s="45"/>
      <c r="T927" s="45"/>
      <c r="V927" s="45"/>
    </row>
    <row r="928">
      <c r="O928" s="41"/>
      <c r="P928" s="45"/>
      <c r="R928" s="45"/>
      <c r="T928" s="45"/>
      <c r="V928" s="45"/>
    </row>
    <row r="929">
      <c r="O929" s="41"/>
      <c r="P929" s="45"/>
      <c r="R929" s="45"/>
      <c r="T929" s="45"/>
      <c r="V929" s="45"/>
    </row>
    <row r="930">
      <c r="O930" s="41"/>
      <c r="P930" s="45"/>
      <c r="R930" s="45"/>
      <c r="T930" s="45"/>
      <c r="V930" s="45"/>
    </row>
    <row r="931">
      <c r="O931" s="41"/>
      <c r="P931" s="45"/>
      <c r="R931" s="45"/>
      <c r="T931" s="45"/>
      <c r="V931" s="45"/>
    </row>
    <row r="932">
      <c r="O932" s="41"/>
      <c r="P932" s="45"/>
      <c r="R932" s="45"/>
      <c r="T932" s="45"/>
      <c r="V932" s="45"/>
    </row>
    <row r="933">
      <c r="O933" s="41"/>
      <c r="P933" s="45"/>
      <c r="R933" s="45"/>
      <c r="T933" s="45"/>
      <c r="V933" s="45"/>
    </row>
    <row r="934">
      <c r="O934" s="41"/>
      <c r="P934" s="45"/>
      <c r="R934" s="45"/>
      <c r="T934" s="45"/>
      <c r="V934" s="45"/>
    </row>
    <row r="935">
      <c r="O935" s="41"/>
      <c r="P935" s="45"/>
      <c r="R935" s="45"/>
      <c r="T935" s="45"/>
      <c r="V935" s="45"/>
    </row>
    <row r="936">
      <c r="O936" s="41"/>
      <c r="P936" s="45"/>
      <c r="R936" s="45"/>
      <c r="T936" s="45"/>
      <c r="V936" s="45"/>
    </row>
    <row r="937">
      <c r="O937" s="41"/>
      <c r="P937" s="45"/>
      <c r="R937" s="45"/>
      <c r="T937" s="45"/>
      <c r="V937" s="45"/>
    </row>
    <row r="938">
      <c r="O938" s="41"/>
      <c r="P938" s="45"/>
      <c r="R938" s="45"/>
      <c r="T938" s="45"/>
      <c r="V938" s="45"/>
    </row>
    <row r="939">
      <c r="O939" s="41"/>
      <c r="P939" s="45"/>
      <c r="R939" s="45"/>
      <c r="T939" s="45"/>
      <c r="V939" s="45"/>
    </row>
    <row r="940">
      <c r="O940" s="41"/>
      <c r="P940" s="45"/>
      <c r="R940" s="45"/>
      <c r="T940" s="45"/>
      <c r="V940" s="45"/>
    </row>
    <row r="941">
      <c r="O941" s="41"/>
      <c r="P941" s="45"/>
      <c r="R941" s="45"/>
      <c r="T941" s="45"/>
      <c r="V941" s="45"/>
    </row>
    <row r="942">
      <c r="O942" s="41"/>
      <c r="P942" s="45"/>
      <c r="R942" s="45"/>
      <c r="T942" s="45"/>
      <c r="V942" s="45"/>
    </row>
    <row r="943">
      <c r="O943" s="41"/>
      <c r="P943" s="45"/>
      <c r="R943" s="45"/>
      <c r="T943" s="45"/>
      <c r="V943" s="45"/>
    </row>
    <row r="944">
      <c r="O944" s="41"/>
      <c r="P944" s="45"/>
      <c r="R944" s="45"/>
      <c r="T944" s="45"/>
      <c r="V944" s="45"/>
    </row>
    <row r="945">
      <c r="O945" s="41"/>
      <c r="P945" s="45"/>
      <c r="R945" s="45"/>
      <c r="T945" s="45"/>
      <c r="V945" s="45"/>
    </row>
    <row r="946">
      <c r="O946" s="41"/>
      <c r="P946" s="45"/>
      <c r="R946" s="45"/>
      <c r="T946" s="45"/>
      <c r="V946" s="45"/>
    </row>
    <row r="947">
      <c r="O947" s="41"/>
      <c r="P947" s="45"/>
      <c r="R947" s="45"/>
      <c r="T947" s="45"/>
      <c r="V947" s="45"/>
    </row>
    <row r="948">
      <c r="O948" s="41"/>
      <c r="P948" s="45"/>
      <c r="R948" s="45"/>
      <c r="T948" s="45"/>
      <c r="V948" s="45"/>
    </row>
    <row r="949">
      <c r="O949" s="41"/>
      <c r="P949" s="45"/>
      <c r="R949" s="45"/>
      <c r="T949" s="45"/>
      <c r="V949" s="45"/>
    </row>
    <row r="950">
      <c r="O950" s="41"/>
      <c r="P950" s="45"/>
      <c r="R950" s="45"/>
      <c r="T950" s="45"/>
      <c r="V950" s="45"/>
    </row>
    <row r="951">
      <c r="O951" s="41"/>
      <c r="P951" s="45"/>
      <c r="R951" s="45"/>
      <c r="T951" s="45"/>
      <c r="V951" s="45"/>
    </row>
    <row r="952">
      <c r="O952" s="41"/>
      <c r="P952" s="45"/>
      <c r="R952" s="45"/>
      <c r="T952" s="45"/>
      <c r="V952" s="45"/>
    </row>
    <row r="953">
      <c r="O953" s="41"/>
      <c r="P953" s="45"/>
      <c r="R953" s="45"/>
      <c r="T953" s="45"/>
      <c r="V953" s="45"/>
    </row>
    <row r="954">
      <c r="O954" s="41"/>
      <c r="P954" s="45"/>
      <c r="R954" s="45"/>
      <c r="T954" s="45"/>
      <c r="V954" s="45"/>
    </row>
    <row r="955">
      <c r="O955" s="41"/>
      <c r="P955" s="45"/>
      <c r="R955" s="45"/>
      <c r="T955" s="45"/>
      <c r="V955" s="45"/>
    </row>
    <row r="956">
      <c r="O956" s="41"/>
      <c r="P956" s="45"/>
      <c r="R956" s="45"/>
      <c r="T956" s="45"/>
      <c r="V956" s="45"/>
    </row>
    <row r="957">
      <c r="O957" s="41"/>
      <c r="P957" s="45"/>
      <c r="R957" s="45"/>
      <c r="T957" s="45"/>
      <c r="V957" s="45"/>
    </row>
    <row r="958">
      <c r="O958" s="41"/>
      <c r="P958" s="45"/>
      <c r="R958" s="45"/>
      <c r="T958" s="45"/>
      <c r="V958" s="45"/>
    </row>
    <row r="959">
      <c r="O959" s="41"/>
      <c r="P959" s="45"/>
      <c r="R959" s="45"/>
      <c r="T959" s="45"/>
      <c r="V959" s="45"/>
    </row>
    <row r="960">
      <c r="O960" s="41"/>
      <c r="P960" s="45"/>
      <c r="R960" s="45"/>
      <c r="T960" s="45"/>
      <c r="V960" s="45"/>
    </row>
    <row r="961">
      <c r="O961" s="41"/>
      <c r="P961" s="45"/>
      <c r="R961" s="45"/>
      <c r="T961" s="45"/>
      <c r="V961" s="45"/>
    </row>
    <row r="962">
      <c r="O962" s="41"/>
      <c r="P962" s="45"/>
      <c r="R962" s="45"/>
      <c r="T962" s="45"/>
      <c r="V962" s="45"/>
    </row>
    <row r="963">
      <c r="O963" s="41"/>
      <c r="P963" s="45"/>
      <c r="R963" s="45"/>
      <c r="T963" s="45"/>
      <c r="V963" s="45"/>
    </row>
    <row r="964">
      <c r="O964" s="41"/>
      <c r="P964" s="45"/>
      <c r="R964" s="45"/>
      <c r="T964" s="45"/>
      <c r="V964" s="45"/>
    </row>
    <row r="965">
      <c r="O965" s="41"/>
      <c r="P965" s="45"/>
      <c r="R965" s="45"/>
      <c r="T965" s="45"/>
      <c r="V965" s="45"/>
    </row>
    <row r="966">
      <c r="O966" s="41"/>
      <c r="P966" s="45"/>
      <c r="R966" s="45"/>
      <c r="T966" s="45"/>
      <c r="V966" s="45"/>
    </row>
    <row r="967">
      <c r="O967" s="41"/>
      <c r="P967" s="45"/>
      <c r="R967" s="45"/>
      <c r="T967" s="45"/>
      <c r="V967" s="45"/>
    </row>
    <row r="968">
      <c r="O968" s="41"/>
      <c r="P968" s="45"/>
      <c r="R968" s="45"/>
      <c r="T968" s="45"/>
      <c r="V968" s="45"/>
    </row>
    <row r="969">
      <c r="O969" s="41"/>
      <c r="P969" s="45"/>
      <c r="R969" s="45"/>
      <c r="T969" s="45"/>
      <c r="V969" s="45"/>
    </row>
    <row r="970">
      <c r="O970" s="41"/>
      <c r="P970" s="45"/>
      <c r="R970" s="45"/>
      <c r="T970" s="45"/>
      <c r="V970" s="45"/>
    </row>
    <row r="971">
      <c r="O971" s="41"/>
      <c r="P971" s="45"/>
      <c r="R971" s="45"/>
      <c r="T971" s="45"/>
      <c r="V971" s="45"/>
    </row>
    <row r="972">
      <c r="O972" s="41"/>
      <c r="P972" s="45"/>
      <c r="R972" s="45"/>
      <c r="T972" s="45"/>
      <c r="V972" s="45"/>
    </row>
    <row r="973">
      <c r="O973" s="41"/>
      <c r="P973" s="45"/>
      <c r="R973" s="45"/>
      <c r="T973" s="45"/>
      <c r="V973" s="45"/>
    </row>
    <row r="974">
      <c r="O974" s="41"/>
      <c r="P974" s="45"/>
      <c r="R974" s="45"/>
      <c r="T974" s="45"/>
      <c r="V974" s="45"/>
    </row>
    <row r="975">
      <c r="O975" s="41"/>
      <c r="P975" s="45"/>
      <c r="R975" s="45"/>
      <c r="T975" s="45"/>
      <c r="V975" s="45"/>
    </row>
    <row r="976">
      <c r="O976" s="41"/>
      <c r="P976" s="45"/>
      <c r="R976" s="45"/>
      <c r="T976" s="45"/>
      <c r="V976" s="45"/>
    </row>
    <row r="977">
      <c r="O977" s="41"/>
      <c r="P977" s="45"/>
      <c r="R977" s="45"/>
      <c r="T977" s="45"/>
      <c r="V977" s="45"/>
    </row>
    <row r="978">
      <c r="O978" s="41"/>
      <c r="P978" s="45"/>
      <c r="R978" s="45"/>
      <c r="T978" s="45"/>
      <c r="V978" s="45"/>
    </row>
    <row r="979">
      <c r="O979" s="41"/>
      <c r="P979" s="45"/>
      <c r="R979" s="45"/>
      <c r="T979" s="45"/>
      <c r="V979" s="45"/>
    </row>
    <row r="980">
      <c r="O980" s="41"/>
      <c r="P980" s="45"/>
      <c r="R980" s="45"/>
      <c r="T980" s="45"/>
      <c r="V980" s="45"/>
    </row>
    <row r="981">
      <c r="O981" s="41"/>
      <c r="P981" s="45"/>
      <c r="R981" s="45"/>
      <c r="T981" s="45"/>
      <c r="V981" s="45"/>
    </row>
    <row r="982">
      <c r="O982" s="41"/>
      <c r="P982" s="45"/>
      <c r="R982" s="45"/>
      <c r="T982" s="45"/>
      <c r="V982" s="45"/>
    </row>
    <row r="983">
      <c r="O983" s="41"/>
      <c r="P983" s="45"/>
      <c r="R983" s="45"/>
      <c r="T983" s="45"/>
      <c r="V983" s="45"/>
    </row>
    <row r="984">
      <c r="O984" s="41"/>
      <c r="P984" s="45"/>
      <c r="R984" s="45"/>
      <c r="T984" s="45"/>
      <c r="V984" s="45"/>
    </row>
    <row r="985">
      <c r="O985" s="41"/>
      <c r="P985" s="45"/>
      <c r="R985" s="45"/>
      <c r="T985" s="45"/>
      <c r="V985" s="45"/>
    </row>
    <row r="986">
      <c r="O986" s="41"/>
      <c r="P986" s="45"/>
      <c r="R986" s="45"/>
      <c r="T986" s="45"/>
      <c r="V986" s="45"/>
    </row>
    <row r="987">
      <c r="O987" s="41"/>
      <c r="P987" s="45"/>
      <c r="R987" s="45"/>
      <c r="T987" s="45"/>
      <c r="V987" s="45"/>
    </row>
    <row r="988">
      <c r="O988" s="41"/>
      <c r="P988" s="45"/>
      <c r="R988" s="45"/>
      <c r="T988" s="45"/>
      <c r="V988" s="45"/>
    </row>
    <row r="989">
      <c r="O989" s="41"/>
      <c r="P989" s="45"/>
      <c r="R989" s="45"/>
      <c r="T989" s="45"/>
      <c r="V989" s="45"/>
    </row>
    <row r="990">
      <c r="O990" s="41"/>
      <c r="P990" s="45"/>
      <c r="R990" s="45"/>
      <c r="T990" s="45"/>
      <c r="V990" s="45"/>
    </row>
    <row r="991">
      <c r="O991" s="41"/>
      <c r="P991" s="45"/>
      <c r="R991" s="45"/>
      <c r="T991" s="45"/>
      <c r="V991" s="45"/>
    </row>
    <row r="992">
      <c r="O992" s="41"/>
      <c r="P992" s="45"/>
      <c r="R992" s="45"/>
      <c r="T992" s="45"/>
      <c r="V992" s="45"/>
    </row>
    <row r="993">
      <c r="O993" s="41"/>
      <c r="P993" s="45"/>
      <c r="R993" s="45"/>
      <c r="T993" s="45"/>
      <c r="V993" s="45"/>
    </row>
    <row r="994">
      <c r="O994" s="41"/>
      <c r="P994" s="45"/>
      <c r="R994" s="45"/>
      <c r="T994" s="45"/>
      <c r="V994" s="45"/>
    </row>
    <row r="995">
      <c r="O995" s="41"/>
      <c r="P995" s="45"/>
      <c r="R995" s="45"/>
      <c r="T995" s="45"/>
      <c r="V995" s="45"/>
    </row>
    <row r="996">
      <c r="O996" s="41"/>
      <c r="P996" s="45"/>
      <c r="R996" s="45"/>
      <c r="T996" s="45"/>
      <c r="V996" s="45"/>
    </row>
    <row r="997">
      <c r="O997" s="41"/>
      <c r="P997" s="45"/>
      <c r="R997" s="45"/>
      <c r="T997" s="45"/>
      <c r="V997" s="45"/>
    </row>
    <row r="998">
      <c r="O998" s="41"/>
      <c r="P998" s="45"/>
      <c r="R998" s="45"/>
      <c r="T998" s="45"/>
      <c r="V998" s="45"/>
    </row>
    <row r="999">
      <c r="O999" s="41"/>
      <c r="P999" s="45"/>
      <c r="R999" s="45"/>
      <c r="T999" s="45"/>
      <c r="V999" s="45"/>
    </row>
    <row r="1000">
      <c r="O1000" s="41"/>
      <c r="P1000" s="45"/>
      <c r="R1000" s="45"/>
      <c r="T1000" s="45"/>
      <c r="V1000" s="45"/>
    </row>
  </sheetData>
  <mergeCells count="170">
    <mergeCell ref="A91:A92"/>
    <mergeCell ref="A93:A94"/>
    <mergeCell ref="A96:O96"/>
    <mergeCell ref="A98:A99"/>
    <mergeCell ref="A100:A101"/>
    <mergeCell ref="A102:A103"/>
    <mergeCell ref="A104:A105"/>
    <mergeCell ref="A106:A107"/>
    <mergeCell ref="A109:O109"/>
    <mergeCell ref="A111:A112"/>
    <mergeCell ref="A113:A114"/>
    <mergeCell ref="A115:A116"/>
    <mergeCell ref="A117:A118"/>
    <mergeCell ref="A119:A120"/>
    <mergeCell ref="A1:O1"/>
    <mergeCell ref="A3:A4"/>
    <mergeCell ref="A5:A6"/>
    <mergeCell ref="A7:A8"/>
    <mergeCell ref="A9:A10"/>
    <mergeCell ref="A11:A12"/>
    <mergeCell ref="A14:O14"/>
    <mergeCell ref="A16:A17"/>
    <mergeCell ref="A18:A19"/>
    <mergeCell ref="A20:A21"/>
    <mergeCell ref="A22:A23"/>
    <mergeCell ref="A24:A25"/>
    <mergeCell ref="A27:O27"/>
    <mergeCell ref="A29:A30"/>
    <mergeCell ref="A31:A32"/>
    <mergeCell ref="A33:A34"/>
    <mergeCell ref="A35:A36"/>
    <mergeCell ref="A37:A38"/>
    <mergeCell ref="A40:O40"/>
    <mergeCell ref="A42:O42"/>
    <mergeCell ref="A44:A45"/>
    <mergeCell ref="A46:A47"/>
    <mergeCell ref="A48:A49"/>
    <mergeCell ref="A50:A51"/>
    <mergeCell ref="A52:A53"/>
    <mergeCell ref="A55:O55"/>
    <mergeCell ref="A57:A58"/>
    <mergeCell ref="A59:A60"/>
    <mergeCell ref="A61:A62"/>
    <mergeCell ref="A63:A64"/>
    <mergeCell ref="A65:A66"/>
    <mergeCell ref="A68:O68"/>
    <mergeCell ref="A70:A71"/>
    <mergeCell ref="A72:A73"/>
    <mergeCell ref="A74:A75"/>
    <mergeCell ref="A76:A77"/>
    <mergeCell ref="A78:A79"/>
    <mergeCell ref="A81:O81"/>
    <mergeCell ref="A83:O83"/>
    <mergeCell ref="A85:A86"/>
    <mergeCell ref="A87:A88"/>
    <mergeCell ref="A89:A90"/>
    <mergeCell ref="A150:O150"/>
    <mergeCell ref="A163:O163"/>
    <mergeCell ref="A165:O165"/>
    <mergeCell ref="A178:O178"/>
    <mergeCell ref="A191:O191"/>
    <mergeCell ref="A122:O122"/>
    <mergeCell ref="A124:O124"/>
    <mergeCell ref="A126:A127"/>
    <mergeCell ref="A128:A129"/>
    <mergeCell ref="A130:A131"/>
    <mergeCell ref="A132:A133"/>
    <mergeCell ref="A137:O137"/>
    <mergeCell ref="A154:A155"/>
    <mergeCell ref="A156:A157"/>
    <mergeCell ref="A158:A159"/>
    <mergeCell ref="A160:A161"/>
    <mergeCell ref="A167:A168"/>
    <mergeCell ref="A169:A170"/>
    <mergeCell ref="A171:A172"/>
    <mergeCell ref="A173:A174"/>
    <mergeCell ref="A175:A176"/>
    <mergeCell ref="A180:A181"/>
    <mergeCell ref="A182:A183"/>
    <mergeCell ref="A184:A185"/>
    <mergeCell ref="A186:A187"/>
    <mergeCell ref="A188:A189"/>
    <mergeCell ref="A225:A226"/>
    <mergeCell ref="A227:A228"/>
    <mergeCell ref="A229:A230"/>
    <mergeCell ref="A234:A235"/>
    <mergeCell ref="A236:A237"/>
    <mergeCell ref="A238:A239"/>
    <mergeCell ref="A240:A241"/>
    <mergeCell ref="A242:A243"/>
    <mergeCell ref="A250:A251"/>
    <mergeCell ref="A252:A253"/>
    <mergeCell ref="A254:A255"/>
    <mergeCell ref="A256:A257"/>
    <mergeCell ref="A258:A259"/>
    <mergeCell ref="A264:A265"/>
    <mergeCell ref="A284:A285"/>
    <mergeCell ref="A286:A287"/>
    <mergeCell ref="A293:A294"/>
    <mergeCell ref="A295:A296"/>
    <mergeCell ref="A297:A298"/>
    <mergeCell ref="A299:A300"/>
    <mergeCell ref="A301:A302"/>
    <mergeCell ref="A266:A267"/>
    <mergeCell ref="A268:A269"/>
    <mergeCell ref="A270:A271"/>
    <mergeCell ref="A272:A273"/>
    <mergeCell ref="A278:A279"/>
    <mergeCell ref="A280:A281"/>
    <mergeCell ref="A282:A283"/>
    <mergeCell ref="A232:K232"/>
    <mergeCell ref="A247:L247"/>
    <mergeCell ref="A248:B248"/>
    <mergeCell ref="C248:D248"/>
    <mergeCell ref="E248:F248"/>
    <mergeCell ref="G248:H248"/>
    <mergeCell ref="I248:J248"/>
    <mergeCell ref="K248:L248"/>
    <mergeCell ref="A261:L261"/>
    <mergeCell ref="A262:B262"/>
    <mergeCell ref="C262:D262"/>
    <mergeCell ref="E262:F262"/>
    <mergeCell ref="G262:H262"/>
    <mergeCell ref="I262:J262"/>
    <mergeCell ref="E276:F276"/>
    <mergeCell ref="A291:F291"/>
    <mergeCell ref="K262:L262"/>
    <mergeCell ref="A275:L275"/>
    <mergeCell ref="A276:B276"/>
    <mergeCell ref="C276:D276"/>
    <mergeCell ref="G276:H276"/>
    <mergeCell ref="I276:J276"/>
    <mergeCell ref="K276:L276"/>
    <mergeCell ref="A134:A135"/>
    <mergeCell ref="A139:A140"/>
    <mergeCell ref="A141:A142"/>
    <mergeCell ref="A143:A144"/>
    <mergeCell ref="A145:A146"/>
    <mergeCell ref="A147:A148"/>
    <mergeCell ref="A152:A153"/>
    <mergeCell ref="M206:N206"/>
    <mergeCell ref="O206:P206"/>
    <mergeCell ref="Q206:R206"/>
    <mergeCell ref="S206:T206"/>
    <mergeCell ref="A193:A194"/>
    <mergeCell ref="A195:A196"/>
    <mergeCell ref="A197:A198"/>
    <mergeCell ref="A199:A200"/>
    <mergeCell ref="A201:A202"/>
    <mergeCell ref="A204:W204"/>
    <mergeCell ref="A206:K206"/>
    <mergeCell ref="U206:V206"/>
    <mergeCell ref="O219:P219"/>
    <mergeCell ref="Q219:R219"/>
    <mergeCell ref="S219:T219"/>
    <mergeCell ref="U219:V219"/>
    <mergeCell ref="A208:A209"/>
    <mergeCell ref="A210:A211"/>
    <mergeCell ref="A212:A213"/>
    <mergeCell ref="A214:A215"/>
    <mergeCell ref="A216:A217"/>
    <mergeCell ref="A219:K219"/>
    <mergeCell ref="M219:N219"/>
    <mergeCell ref="A221:A222"/>
    <mergeCell ref="A223:A224"/>
    <mergeCell ref="M232:N232"/>
    <mergeCell ref="O232:P232"/>
    <mergeCell ref="Q232:R232"/>
    <mergeCell ref="S232:T232"/>
    <mergeCell ref="U232:V2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160" t="s">
        <v>45</v>
      </c>
      <c r="D2" s="160" t="s">
        <v>77</v>
      </c>
      <c r="E2" s="160" t="s">
        <v>78</v>
      </c>
      <c r="F2" s="160" t="s">
        <v>44</v>
      </c>
      <c r="G2" s="160" t="s">
        <v>79</v>
      </c>
    </row>
    <row r="3">
      <c r="A3" s="34" t="s">
        <v>16</v>
      </c>
      <c r="B3" s="297" t="s">
        <v>17</v>
      </c>
      <c r="C3" s="14">
        <f>sequential!O3</f>
        <v>284</v>
      </c>
      <c r="D3" s="298">
        <f>parallel_no_simd!F249</f>
        <v>130</v>
      </c>
      <c r="E3" s="15">
        <f>parallel_simd!F293</f>
        <v>131</v>
      </c>
      <c r="F3" s="299">
        <f t="shared" ref="F3:F12" si="1">MIN(C3:E3)</f>
        <v>130</v>
      </c>
      <c r="G3" s="300">
        <f>C3/D3</f>
        <v>2.184615385</v>
      </c>
    </row>
    <row r="4">
      <c r="A4" s="32"/>
      <c r="B4" s="301" t="s">
        <v>18</v>
      </c>
      <c r="C4" s="22">
        <f>sequential!O4</f>
        <v>282.7915</v>
      </c>
      <c r="D4" s="23">
        <f>parallel_no_simd!F250</f>
        <v>124.7916</v>
      </c>
      <c r="E4" s="302">
        <f>parallel_simd!F294</f>
        <v>124.4472</v>
      </c>
      <c r="F4" s="303">
        <f t="shared" si="1"/>
        <v>124.4472</v>
      </c>
      <c r="G4" s="300">
        <f>C4/E4</f>
        <v>2.272381379</v>
      </c>
    </row>
    <row r="5">
      <c r="A5" s="25" t="s">
        <v>19</v>
      </c>
      <c r="B5" s="213" t="s">
        <v>17</v>
      </c>
      <c r="C5" s="29">
        <f>sequential!O5</f>
        <v>826</v>
      </c>
      <c r="D5" s="188">
        <f>parallel_no_simd!F251</f>
        <v>240</v>
      </c>
      <c r="E5" s="30">
        <f>parallel_simd!F295</f>
        <v>240</v>
      </c>
      <c r="F5" s="237">
        <f t="shared" si="1"/>
        <v>240</v>
      </c>
      <c r="G5" s="191">
        <f t="shared" ref="G5:G6" si="2">C5/D5</f>
        <v>3.441666667</v>
      </c>
    </row>
    <row r="6">
      <c r="A6" s="32"/>
      <c r="B6" s="216" t="s">
        <v>18</v>
      </c>
      <c r="C6" s="29">
        <f>sequential!O6</f>
        <v>827.5504</v>
      </c>
      <c r="D6" s="188">
        <f>parallel_no_simd!F252</f>
        <v>234.7095</v>
      </c>
      <c r="E6" s="30">
        <f>parallel_simd!F296</f>
        <v>235.9917</v>
      </c>
      <c r="F6" s="237">
        <f t="shared" si="1"/>
        <v>234.7095</v>
      </c>
      <c r="G6" s="191">
        <f t="shared" si="2"/>
        <v>3.525849614</v>
      </c>
    </row>
    <row r="7">
      <c r="A7" s="34" t="s">
        <v>20</v>
      </c>
      <c r="B7" s="297" t="s">
        <v>17</v>
      </c>
      <c r="C7" s="22">
        <f>sequential!O7</f>
        <v>1162</v>
      </c>
      <c r="D7" s="23">
        <f>parallel_no_simd!F253</f>
        <v>450</v>
      </c>
      <c r="E7" s="302">
        <f>parallel_simd!F297</f>
        <v>450</v>
      </c>
      <c r="F7" s="303">
        <f t="shared" si="1"/>
        <v>450</v>
      </c>
      <c r="G7" s="300">
        <f t="shared" ref="G7:G8" si="3">C7/E7</f>
        <v>2.582222222</v>
      </c>
    </row>
    <row r="8">
      <c r="A8" s="32"/>
      <c r="B8" s="304" t="s">
        <v>18</v>
      </c>
      <c r="C8" s="22">
        <f>sequential!O8</f>
        <v>1174.137</v>
      </c>
      <c r="D8" s="23">
        <f>parallel_no_simd!F254</f>
        <v>450.208</v>
      </c>
      <c r="E8" s="302">
        <f>parallel_simd!F298</f>
        <v>441.1603</v>
      </c>
      <c r="F8" s="303">
        <f t="shared" si="1"/>
        <v>441.1603</v>
      </c>
      <c r="G8" s="300">
        <f t="shared" si="3"/>
        <v>2.661474752</v>
      </c>
    </row>
    <row r="9">
      <c r="A9" s="25" t="s">
        <v>21</v>
      </c>
      <c r="B9" s="213" t="s">
        <v>17</v>
      </c>
      <c r="C9" s="29">
        <f>sequential!O9</f>
        <v>2400</v>
      </c>
      <c r="D9" s="188">
        <f>parallel_no_simd!F255</f>
        <v>830</v>
      </c>
      <c r="E9" s="30">
        <f>parallel_simd!F299</f>
        <v>889</v>
      </c>
      <c r="F9" s="237">
        <f t="shared" si="1"/>
        <v>830</v>
      </c>
      <c r="G9" s="191">
        <f t="shared" ref="G9:G10" si="4">C9/D9</f>
        <v>2.891566265</v>
      </c>
    </row>
    <row r="10">
      <c r="A10" s="32"/>
      <c r="B10" s="216" t="s">
        <v>18</v>
      </c>
      <c r="C10" s="29">
        <f>sequential!O10</f>
        <v>2400.128</v>
      </c>
      <c r="D10" s="188">
        <f>parallel_no_simd!F256</f>
        <v>829.8356</v>
      </c>
      <c r="E10" s="30">
        <f>parallel_simd!F300</f>
        <v>883.2338</v>
      </c>
      <c r="F10" s="237">
        <f t="shared" si="1"/>
        <v>829.8356</v>
      </c>
      <c r="G10" s="191">
        <f t="shared" si="4"/>
        <v>2.892293365</v>
      </c>
    </row>
    <row r="11">
      <c r="A11" s="34" t="s">
        <v>22</v>
      </c>
      <c r="B11" s="297" t="s">
        <v>17</v>
      </c>
      <c r="C11" s="22">
        <f>sequential!O11</f>
        <v>3735</v>
      </c>
      <c r="D11" s="23">
        <f>parallel_no_simd!F257</f>
        <v>2248</v>
      </c>
      <c r="E11" s="302">
        <f>parallel_simd!F301</f>
        <v>1742</v>
      </c>
      <c r="F11" s="303">
        <f t="shared" si="1"/>
        <v>1742</v>
      </c>
      <c r="G11" s="300">
        <f t="shared" ref="G11:G12" si="5">C11/E11</f>
        <v>2.144087256</v>
      </c>
    </row>
    <row r="12">
      <c r="A12" s="32"/>
      <c r="B12" s="305" t="s">
        <v>18</v>
      </c>
      <c r="C12" s="38">
        <f>sequential!O12</f>
        <v>3743.021</v>
      </c>
      <c r="D12" s="39">
        <f>parallel_no_simd!F258</f>
        <v>2262.799</v>
      </c>
      <c r="E12" s="306">
        <f>parallel_simd!F302</f>
        <v>1746.933</v>
      </c>
      <c r="F12" s="307">
        <f t="shared" si="1"/>
        <v>1746.933</v>
      </c>
      <c r="G12" s="308">
        <f t="shared" si="5"/>
        <v>2.142624245</v>
      </c>
    </row>
  </sheetData>
  <mergeCells count="6">
    <mergeCell ref="A1:G1"/>
    <mergeCell ref="A3:A4"/>
    <mergeCell ref="A5:A6"/>
    <mergeCell ref="A7:A8"/>
    <mergeCell ref="A9:A10"/>
    <mergeCell ref="A11:A12"/>
  </mergeCells>
  <drawing r:id="rId1"/>
</worksheet>
</file>